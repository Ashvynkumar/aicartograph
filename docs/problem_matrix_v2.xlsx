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blem Matrix" sheetId="1" state="visible" r:id="rId3"/>
    <sheet name="Clusters &amp; Pricing" sheetId="2" state="visible" r:id="rId4"/>
    <sheet name="Roadmap Gantt" sheetId="3" state="visible" r:id="rId5"/>
    <sheet name="USP Analysis" sheetId="4" state="visible" r:id="rId6"/>
  </sheets>
  <definedNames>
    <definedName function="false" hidden="true" localSheetId="0" name="_xlnm._FilterDatabase" vbProcedure="false">'Problem Matrix'!$A$1:$K$43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<sst xmlns="http://schemas.openxmlformats.org/spreadsheetml/2006/main" count="498" uniqueCount="291">
  <si>
    <t xml:space="preserve">#</t>
  </si>
  <si>
    <t xml:space="preserve">Stage</t>
  </si>
  <si>
    <t xml:space="preserve">Problem</t>
  </si>
  <si>
    <t xml:space="preserve">Cluster</t>
  </si>
  <si>
    <t xml:space="preserve">Customer
ROI</t>
  </si>
  <si>
    <t xml:space="preserve">Complexity</t>
  </si>
  <si>
    <t xml:space="preserve">Priority
Score</t>
  </si>
  <si>
    <t xml:space="preserve">Quadrant</t>
  </si>
  <si>
    <t xml:space="preserve">USP?</t>
  </si>
  <si>
    <t xml:space="preserve">Phase</t>
  </si>
  <si>
    <t xml:space="preserve">Notes</t>
  </si>
  <si>
    <t xml:space="preserve">Creation</t>
  </si>
  <si>
    <t xml:space="preserve">Writers don't know what to document — no signal from users</t>
  </si>
  <si>
    <t xml:space="preserve">C4: Feedback &amp; Signals Loop</t>
  </si>
  <si>
    <t xml:space="preserve">GO FIRST</t>
  </si>
  <si>
    <t xml:space="preserve">★ USP</t>
  </si>
  <si>
    <t xml:space="preserve">USP: Nobody closes the consumption-to-creation feedback loop today</t>
  </si>
  <si>
    <t xml:space="preserve">Docs written for writer's context, not reader's context</t>
  </si>
  <si>
    <t xml:space="preserve">C10: Content Quality &amp; Standards</t>
  </si>
  <si>
    <t xml:space="preserve">STRATEGIC</t>
  </si>
  <si>
    <t xml:space="preserve">Content transformation — needs AI + domain models</t>
  </si>
  <si>
    <t xml:space="preserve">No templates or standards — teams document differently</t>
  </si>
  <si>
    <t xml:space="preserve">QUICK WIN</t>
  </si>
  <si>
    <t xml:space="preserve">Template library — low effort, bundled value</t>
  </si>
  <si>
    <t xml:space="preserve">Duplication — multiple teams document same thing</t>
  </si>
  <si>
    <t xml:space="preserve">C8: Knowledge Governance &amp; Source of Truth</t>
  </si>
  <si>
    <t xml:space="preserve">Dedup via knowledge graph — depends on C1 infrastructure</t>
  </si>
  <si>
    <t xml:space="preserve">Docs created in silos — different tools per team</t>
  </si>
  <si>
    <t xml:space="preserve">C1: Knowledge Discovery &amp; Search</t>
  </si>
  <si>
    <t xml:space="preserve">Multi-platform connectors — foundational but heavy lift</t>
  </si>
  <si>
    <t xml:space="preserve">No review/verification process for accuracy</t>
  </si>
  <si>
    <t xml:space="preserve">Verification workflow — low complexity add-on</t>
  </si>
  <si>
    <t xml:space="preserve">Docs lack depth — 'what' but not 'why' or context</t>
  </si>
  <si>
    <t xml:space="preserve">Hard to automate — AI-assisted enrichment</t>
  </si>
  <si>
    <t xml:space="preserve">Maintenance</t>
  </si>
  <si>
    <t xml:space="preserve">Docs go stale after product changes — no update trigger</t>
  </si>
  <si>
    <t xml:space="preserve">C2: Doc Health &amp; Maintenance Intelligence</t>
  </si>
  <si>
    <t xml:space="preserve">USP: Release-to-doc staleness detection is a gap in market</t>
  </si>
  <si>
    <t xml:space="preserve">No ownership model for doc maintenance</t>
  </si>
  <si>
    <t xml:space="preserve">Assignment + reminder workflows — simple</t>
  </si>
  <si>
    <t xml:space="preserve">Version sprawl + dead docs pollute the system</t>
  </si>
  <si>
    <t xml:space="preserve">Lifecycle management — natural extension of C2</t>
  </si>
  <si>
    <t xml:space="preserve">Contradictions — two docs say different things</t>
  </si>
  <si>
    <t xml:space="preserve">USP: Semantic contradiction detection across corpus — nobody does this well</t>
  </si>
  <si>
    <t xml:space="preserve">No health metrics on doc corpus</t>
  </si>
  <si>
    <t xml:space="preserve">C5: Knowledge Analytics &amp; Insights</t>
  </si>
  <si>
    <t xml:space="preserve">Analytics over doc corpus — moderate build</t>
  </si>
  <si>
    <t xml:space="preserve">Documentation debt — always deprioritized</t>
  </si>
  <si>
    <t xml:space="preserve">DEFER</t>
  </si>
  <si>
    <t xml:space="preserve">Org behavior change — our analytics can surface this but can't force action</t>
  </si>
  <si>
    <t xml:space="preserve">Discovery</t>
  </si>
  <si>
    <t xml:space="preserve">Users can't find the right doc among many</t>
  </si>
  <si>
    <t xml:space="preserve">Semantic search + ranking — well-understood tech, high impact</t>
  </si>
  <si>
    <t xml:space="preserve">Docs scattered across too many tools/platforms</t>
  </si>
  <si>
    <t xml:space="preserve">Multi-platform unified index — foundational but connector-heavy</t>
  </si>
  <si>
    <t xml:space="preserve">Access controls block legitimate needs</t>
  </si>
  <si>
    <t xml:space="preserve">Permissions mapping — important but not differentiating</t>
  </si>
  <si>
    <t xml:space="preserve">No contextual surfacing at right moment in workflow</t>
  </si>
  <si>
    <t xml:space="preserve">C6: Contextual Knowledge Delivery</t>
  </si>
  <si>
    <t xml:space="preserve">USP: Push knowledge to user in-context — nobody does this for docs</t>
  </si>
  <si>
    <t xml:space="preserve">Tribal knowledge never gets documented</t>
  </si>
  <si>
    <t xml:space="preserve">Knowledge capture from Slack/meetings — emerging space</t>
  </si>
  <si>
    <t xml:space="preserve">Naming and taxonomy chaos</t>
  </si>
  <si>
    <t xml:space="preserve">AI-driven auto-tagging — bundle with search</t>
  </si>
  <si>
    <t xml:space="preserve">Consumption</t>
  </si>
  <si>
    <t xml:space="preserve">Doc too generic for user's version/config/use case</t>
  </si>
  <si>
    <t xml:space="preserve">C7: Cross-doc Synthesis &amp; Assembly</t>
  </si>
  <si>
    <t xml:space="preserve">USP: Context-aware answer assembly — THE core differentiator</t>
  </si>
  <si>
    <t xml:space="preserve">Doc covers feature not user's actual workflow</t>
  </si>
  <si>
    <t xml:space="preserve">Workflow-based resolution — extends C7</t>
  </si>
  <si>
    <t xml:space="preserve">Doc too technical or too shallow for audience</t>
  </si>
  <si>
    <t xml:space="preserve">Audience adaptation — nice-to-have, not urgent</t>
  </si>
  <si>
    <t xml:space="preserve">User stitches info from multiple docs for one problem</t>
  </si>
  <si>
    <t xml:space="preserve">USP: Cross-doc synthesis — nobody assembles answers from multiple sources</t>
  </si>
  <si>
    <t xml:space="preserve">No interactive element — can't ask follow-ups</t>
  </si>
  <si>
    <t xml:space="preserve">C3: Conversational Knowledge Resolution</t>
  </si>
  <si>
    <t xml:space="preserve">Conversational RAG interface — table stakes but we do it better</t>
  </si>
  <si>
    <t xml:space="preserve">Doc assumes prior knowledge reader doesn't have</t>
  </si>
  <si>
    <t xml:space="preserve">Prerequisite mapping — complex, defer</t>
  </si>
  <si>
    <t xml:space="preserve">No feedback mechanism — can't say 'this didn't help'</t>
  </si>
  <si>
    <t xml:space="preserve">Feedback widget — simple build, high signal value</t>
  </si>
  <si>
    <t xml:space="preserve">Impact</t>
  </si>
  <si>
    <t xml:space="preserve">Support ticket volume from doc failures</t>
  </si>
  <si>
    <t xml:space="preserve">Ticket deflection measurement — direct ROI story</t>
  </si>
  <si>
    <t xml:space="preserve">Internal interruptions + escalation chains</t>
  </si>
  <si>
    <t xml:space="preserve">Slack/Teams answer routing — moderate build</t>
  </si>
  <si>
    <t xml:space="preserve">Self-inflicted errors from incorrect self-service</t>
  </si>
  <si>
    <t xml:space="preserve">Proactive error prevention — hard, deferred</t>
  </si>
  <si>
    <t xml:space="preserve">Sales reps don't know features/depth/roadmap</t>
  </si>
  <si>
    <t xml:space="preserve">C9: Onboarding &amp; Enablement</t>
  </si>
  <si>
    <t xml:space="preserve">Sales enablement feed — moderate build, clear buyer</t>
  </si>
  <si>
    <t xml:space="preserve">Onboarding delays for employees/customers</t>
  </si>
  <si>
    <t xml:space="preserve">Progressive knowledge delivery — time-to-value metric</t>
  </si>
  <si>
    <t xml:space="preserve">Customer churn from inability to self-serve</t>
  </si>
  <si>
    <t xml:space="preserve">Churn signal from doc failures — powerful but attribution is hard</t>
  </si>
  <si>
    <t xml:space="preserve">Governance</t>
  </si>
  <si>
    <t xml:space="preserve">No single source of truth</t>
  </si>
  <si>
    <t xml:space="preserve">Source-of-truth designation + conflict flagging</t>
  </si>
  <si>
    <t xml:space="preserve">No feedback loop — consumers can't signal to creators</t>
  </si>
  <si>
    <t xml:space="preserve">USP: Closes the loop — nobody connects consumption signals to creation</t>
  </si>
  <si>
    <t xml:space="preserve">No analytics on doc health or impact</t>
  </si>
  <si>
    <t xml:space="preserve">Dashboard — exec visibility into knowledge health</t>
  </si>
  <si>
    <t xml:space="preserve">Compliance and audit gaps</t>
  </si>
  <si>
    <t xml:space="preserve">Vertical-specific — defer unless early customer needs it</t>
  </si>
  <si>
    <t xml:space="preserve">Infosec tension — too open or too locked</t>
  </si>
  <si>
    <t xml:space="preserve">Access control — important but not our entry point</t>
  </si>
  <si>
    <t xml:space="preserve">Cross-cutting</t>
  </si>
  <si>
    <t xml:space="preserve">Localization/multilingual gaps</t>
  </si>
  <si>
    <t xml:space="preserve">Global companies only — defer</t>
  </si>
  <si>
    <t xml:space="preserve">Format fragmentation — same info in PDF, video, Slack</t>
  </si>
  <si>
    <t xml:space="preserve">Multi-format ingestion — extends C1 connectors</t>
  </si>
  <si>
    <t xml:space="preserve">Onboarding knowledge cliff — Day 1 = Day 90</t>
  </si>
  <si>
    <t xml:space="preserve">Progressive knowledge maturity — strong differentiator</t>
  </si>
  <si>
    <t xml:space="preserve">Context loss in handoffs — sales to CS to support</t>
  </si>
  <si>
    <t xml:space="preserve">CRM integration for context continuity</t>
  </si>
  <si>
    <t xml:space="preserve">Changelog/release notes disconnected from docs</t>
  </si>
  <si>
    <t xml:space="preserve">Release-to-doc mapping — natural extension of staleness detection</t>
  </si>
  <si>
    <t xml:space="preserve">CAPABILITY CLUSTERS — Packaging, Pricing &amp; Competitive Positioning</t>
  </si>
  <si>
    <t xml:space="preserve">Capability Name</t>
  </si>
  <si>
    <t xml:space="preserve"># Problems
Solved</t>
  </si>
  <si>
    <t xml:space="preserve">Competitor
Benchmark</t>
  </si>
  <si>
    <t xml:space="preserve">Competitor
Pricing</t>
  </si>
  <si>
    <t xml:space="preserve">Our Suggested
Pricing</t>
  </si>
  <si>
    <t xml:space="preserve">Pricing
Model</t>
  </si>
  <si>
    <t xml:space="preserve">USP
Count</t>
  </si>
  <si>
    <t xml:space="preserve">Positioning vs Competition</t>
  </si>
  <si>
    <t xml:space="preserve">C1</t>
  </si>
  <si>
    <t xml:space="preserve">Knowledge Discovery &amp; Search</t>
  </si>
  <si>
    <t xml:space="preserve">Phase 1</t>
  </si>
  <si>
    <t xml:space="preserve">Glean, Guru, Algolia</t>
  </si>
  <si>
    <t xml:space="preserve">$25-50/user/mo</t>
  </si>
  <si>
    <t xml:space="preserve">$12-18/user/mo</t>
  </si>
  <si>
    <t xml:space="preserve">Per user/mo</t>
  </si>
  <si>
    <t xml:space="preserve">-</t>
  </si>
  <si>
    <t xml:space="preserve">Undercut Glean significantly. We don't need 100+ connectors day 1 — start with top 5 (Confluence, Notion, Google Docs, GitHub, SharePoint)</t>
  </si>
  <si>
    <t xml:space="preserve">C2</t>
  </si>
  <si>
    <t xml:space="preserve">Doc Health &amp; Maintenance Intel</t>
  </si>
  <si>
    <t xml:space="preserve">Nobody (gap)</t>
  </si>
  <si>
    <t xml:space="preserve">N/A</t>
  </si>
  <si>
    <t xml:space="preserve">$8-12/user/mo</t>
  </si>
  <si>
    <t xml:space="preserve">★ TRUE GAP. Staleness detection, contradiction flagging, release-to-doc mapping. Nobody does this.</t>
  </si>
  <si>
    <t xml:space="preserve">C3</t>
  </si>
  <si>
    <t xml:space="preserve">Conversational Knowledge Resolution</t>
  </si>
  <si>
    <t xml:space="preserve">Intercom Fin, Zendesk AI, Ada</t>
  </si>
  <si>
    <t xml:space="preserve">$0.99/resolution or $39/agent/mo</t>
  </si>
  <si>
    <t xml:space="preserve">$10-15/user/mo or $0.50/resolution</t>
  </si>
  <si>
    <t xml:space="preserve">Hybrid</t>
  </si>
  <si>
    <t xml:space="preserve">Differentiate by being knowledge-native not ticket-native. We resolve from unified knowledge, they resolve from KB articles.</t>
  </si>
  <si>
    <t xml:space="preserve">C4</t>
  </si>
  <si>
    <t xml:space="preserve">Feedback &amp; Signals Loop</t>
  </si>
  <si>
    <t xml:space="preserve">$5-8/user/mo</t>
  </si>
  <si>
    <t xml:space="preserve">★ TRUE GAP. Connects consumption failures back to creation priorities. Closes the loop nobody else closes.</t>
  </si>
  <si>
    <t xml:space="preserve">C5</t>
  </si>
  <si>
    <t xml:space="preserve">Knowledge Analytics &amp; Insights</t>
  </si>
  <si>
    <t xml:space="preserve">Phase 2</t>
  </si>
  <si>
    <t xml:space="preserve">Guru (basic), Glean (basic)</t>
  </si>
  <si>
    <t xml:space="preserve">Bundled in $25-50/user</t>
  </si>
  <si>
    <t xml:space="preserve">Go deeper than Guru/Glean analytics. Show ROI: tickets deflected, time saved, gaps identified. Exec-level dashboard.</t>
  </si>
  <si>
    <t xml:space="preserve">C6</t>
  </si>
  <si>
    <t xml:space="preserve">Contextual Knowledge Delivery</t>
  </si>
  <si>
    <t xml:space="preserve">Nobody at doc level (gap)</t>
  </si>
  <si>
    <t xml:space="preserve">$10-15/user/mo</t>
  </si>
  <si>
    <t xml:space="preserve">★ PARTIAL GAP. Glean does internal context. Nobody pushes the right doc in-context for external users inside a SaaS product.</t>
  </si>
  <si>
    <t xml:space="preserve">C7</t>
  </si>
  <si>
    <t xml:space="preserve">Cross-doc Synthesis &amp; Assembly</t>
  </si>
  <si>
    <t xml:space="preserve">Phase 3</t>
  </si>
  <si>
    <t xml:space="preserve">$15-20/user/mo</t>
  </si>
  <si>
    <t xml:space="preserve">★ TRUE GAP. THE core differentiator. Assemble answers from multiple docs for user's specific context. Nobody does this.</t>
  </si>
  <si>
    <t xml:space="preserve">C8</t>
  </si>
  <si>
    <t xml:space="preserve">Knowledge Governance &amp; Source of Truth</t>
  </si>
  <si>
    <t xml:space="preserve">Guru (partial), Confluence (weak)</t>
  </si>
  <si>
    <t xml:space="preserve">$25/user/mo (Guru)</t>
  </si>
  <si>
    <t xml:space="preserve">Not our differentiator but necessary hygiene. Bundle with other clusters. Don't lead with this.</t>
  </si>
  <si>
    <t xml:space="preserve">C9</t>
  </si>
  <si>
    <t xml:space="preserve">Onboarding &amp; Enablement</t>
  </si>
  <si>
    <t xml:space="preserve">Guru (basic), WalkMe, Pendo</t>
  </si>
  <si>
    <t xml:space="preserve">$15-25/user/mo</t>
  </si>
  <si>
    <t xml:space="preserve">Progressive knowledge delivery based on user maturity. Better than static onboarding decks.</t>
  </si>
  <si>
    <t xml:space="preserve">C10</t>
  </si>
  <si>
    <t xml:space="preserve">Content Quality &amp; Standards</t>
  </si>
  <si>
    <t xml:space="preserve">Grammarly Business, Writer.com</t>
  </si>
  <si>
    <t xml:space="preserve">Add-on</t>
  </si>
  <si>
    <t xml:space="preserve">Templates + quality scoring. Nice-to-have, not a lead offering. Phase 3.</t>
  </si>
  <si>
    <t xml:space="preserve">PACKAGING OPTIONS</t>
  </si>
  <si>
    <t xml:space="preserve">Starter</t>
  </si>
  <si>
    <t xml:space="preserve">C1 + C3 + C4 (partial)</t>
  </si>
  <si>
    <t xml:space="preserve">$25-35/user/mo</t>
  </si>
  <si>
    <t xml:space="preserve">Discovery + Conversational + Basic Feedback. Entry point — beats Guru on price, adds conversational layer they don't have.</t>
  </si>
  <si>
    <t xml:space="preserve">Professional</t>
  </si>
  <si>
    <t xml:space="preserve">Starter + C2 + C5 + C8</t>
  </si>
  <si>
    <t xml:space="preserve">$45-60/user/mo</t>
  </si>
  <si>
    <t xml:space="preserve">Adds Doc Health Intel + Analytics + Governance. This is where USPs kick in. Comparable to Glean pricing but fundamentally different value.</t>
  </si>
  <si>
    <t xml:space="preserve">Enterprise</t>
  </si>
  <si>
    <t xml:space="preserve">All clusters</t>
  </si>
  <si>
    <t xml:space="preserve">$70-90/user/mo</t>
  </si>
  <si>
    <t xml:space="preserve">Full platform including Contextual Delivery + Cross-doc Synthesis + Onboarding. Premium positioning — justified by unique capabilities.</t>
  </si>
  <si>
    <t xml:space="preserve">Usage-based option</t>
  </si>
  <si>
    <t xml:space="preserve">Per resolution / per query</t>
  </si>
  <si>
    <t xml:space="preserve">$0.30-0.75/resolution</t>
  </si>
  <si>
    <t xml:space="preserve">Alternative for customer-facing use cases. Aligns cost with value — customer pays only when knowledge resolves a problem.</t>
  </si>
  <si>
    <t xml:space="preserve">PRODUCT ROADMAP — Phased Delivery Gantt Chart</t>
  </si>
  <si>
    <t xml:space="preserve">Capability</t>
  </si>
  <si>
    <t xml:space="preserve">Key Deliverables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</si>
  <si>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</si>
  <si>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</si>
  <si>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</si>
  <si>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</si>
  <si>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</si>
  <si>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</si>
  <si>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</si>
  <si>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</si>
  <si>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</si>
  <si>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</si>
  <si>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</si>
  <si>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</si>
  <si>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Q1 — Proof of Value</t>
  </si>
  <si>
    <t xml:space="preserve">Q2 — MVP Launch</t>
  </si>
  <si>
    <t xml:space="preserve">Q3 — Scale &amp; Expand</t>
  </si>
  <si>
    <t xml:space="preserve">P1</t>
  </si>
  <si>
    <t xml:space="preserve">Knowledge Discovery</t>
  </si>
  <si>
    <t xml:space="preserve">Unified search across top 3 connectors
(Confluence, Notion, Google Docs)</t>
  </si>
  <si>
    <t xml:space="preserve">▶</t>
  </si>
  <si>
    <t xml:space="preserve">◀</t>
  </si>
  <si>
    <t xml:space="preserve">Conversational Resolution</t>
  </si>
  <si>
    <t xml:space="preserve">Chat interface + RAG pipeline
over ingested docs</t>
  </si>
  <si>
    <t xml:space="preserve">Feedback Loop (basic)</t>
  </si>
  <si>
    <t xml:space="preserve">Feedback widget + signal capture
'This helped / didn't help'</t>
  </si>
  <si>
    <t xml:space="preserve">Doc Health (basic)</t>
  </si>
  <si>
    <t xml:space="preserve">Staleness scoring + stale doc alerts
Release-to-doc mapping</t>
  </si>
  <si>
    <t xml:space="preserve">P1.5</t>
  </si>
  <si>
    <t xml:space="preserve">Knowledge Analytics</t>
  </si>
  <si>
    <t xml:space="preserve">Dashboard: search patterns, gaps,
ticket deflection metrics</t>
  </si>
  <si>
    <t xml:space="preserve">Governance (basic)</t>
  </si>
  <si>
    <t xml:space="preserve">Source-of-truth designation
Ownership assignment</t>
  </si>
  <si>
    <t xml:space="preserve">Discovery (expanded)</t>
  </si>
  <si>
    <t xml:space="preserve">Add GitHub + SharePoint connectors
AI auto-tagging</t>
  </si>
  <si>
    <t xml:space="preserve">P2</t>
  </si>
  <si>
    <t xml:space="preserve">Progressive knowledge delivery
Role-based content sequences</t>
  </si>
  <si>
    <t xml:space="preserve">Contextual Delivery</t>
  </si>
  <si>
    <t xml:space="preserve">Embeddable widget for SaaS products
Push right doc at right moment</t>
  </si>
  <si>
    <t xml:space="preserve">Doc Health (advanced)</t>
  </si>
  <si>
    <t xml:space="preserve">Contradiction detection
Automated gap analysis</t>
  </si>
  <si>
    <t xml:space="preserve">Feedback Loop (advanced)</t>
  </si>
  <si>
    <t xml:space="preserve">Signal routing to doc owners
Creation priority suggestions</t>
  </si>
  <si>
    <t xml:space="preserve">P3</t>
  </si>
  <si>
    <t xml:space="preserve">Cross-doc Synthesis</t>
  </si>
  <si>
    <t xml:space="preserve">Context-aware answer assembly
from multiple sources</t>
  </si>
  <si>
    <t xml:space="preserve">Contextual Delivery (adv)</t>
  </si>
  <si>
    <t xml:space="preserve">User config/version awareness
Personalized content adaptation</t>
  </si>
  <si>
    <t xml:space="preserve">Content Quality</t>
  </si>
  <si>
    <t xml:space="preserve">Templates, quality scoring,
depth analysis</t>
  </si>
  <si>
    <t xml:space="preserve">Synthesis (advanced)</t>
  </si>
  <si>
    <t xml:space="preserve">Workflow-based resolution
Multi-doc answer composition</t>
  </si>
  <si>
    <t xml:space="preserve">MILESTONES</t>
  </si>
  <si>
    <t xml:space="preserve">First customer live on Proof of Value — search + chat + feedback working</t>
  </si>
  <si>
    <t xml:space="preserve">MVP launch — analytics dashboard + governance + expanded connectors</t>
  </si>
  <si>
    <t xml:space="preserve">Target: 3-5 paying customers on Starter or Professional tier</t>
  </si>
  <si>
    <t xml:space="preserve">Embeddable widget live — first customer-facing deployment</t>
  </si>
  <si>
    <t xml:space="preserve">Target: 10+ paying customers, begin Enterprise tier conversations</t>
  </si>
  <si>
    <t xml:space="preserve">Cross-doc synthesis live — full USP differentiation achieved</t>
  </si>
  <si>
    <t xml:space="preserve">Target: 20+ customers, Series A readiness metrics</t>
  </si>
  <si>
    <t xml:space="preserve">USP DEEP DIVE — Where We Genuinely Win</t>
  </si>
  <si>
    <t xml:space="preserve">USP #</t>
  </si>
  <si>
    <t xml:space="preserve">What We Do</t>
  </si>
  <si>
    <t xml:space="preserve">What Competitors Do</t>
  </si>
  <si>
    <t xml:space="preserve">Why We Win</t>
  </si>
  <si>
    <t xml:space="preserve">Defensibility</t>
  </si>
  <si>
    <t xml:space="preserve">USP 1</t>
  </si>
  <si>
    <t xml:space="preserve">Feedback-to-Creation Loop</t>
  </si>
  <si>
    <t xml:space="preserve">Track what users search for, fail to find, report as unhelpful. Route signals to doc owners with priority scores. Tell writers WHAT to create next.</t>
  </si>
  <si>
    <t xml:space="preserve">Guru: basic analytics on card views. Glean: search query logs but no routing back to creators. Zendesk: ticket trends but disconnected from docs.</t>
  </si>
  <si>
    <t xml:space="preserve">We close the full circle: consumption failure → signal capture → creation priority → resolution improvement. Nobody else connects these dots.</t>
  </si>
  <si>
    <t xml:space="preserve">STRONG. Network effect — more users = better signals = better docs = more users. Data moat grows over time.</t>
  </si>
  <si>
    <t xml:space="preserve">USP 2</t>
  </si>
  <si>
    <t xml:space="preserve">Doc Health Intelligence</t>
  </si>
  <si>
    <t xml:space="preserve">Proactive staleness detection tied to releases. Semantic contradiction detection across doc corpus. Automated gap analysis from user queries vs available content.</t>
  </si>
  <si>
    <t xml:space="preserve">Guru: manual verification reminders on a schedule. GitBook: basic update tracking. Nobody does release-triggered staleness or contradiction detection.</t>
  </si>
  <si>
    <t xml:space="preserve">We make doc maintenance proactive instead of reactive. We tell you your docs are broken before your users tell you via tickets.</t>
  </si>
  <si>
    <t xml:space="preserve">MODERATE. The intelligence models are hard to replicate quickly, but a well-funded competitor could build this in 6-12 months.</t>
  </si>
  <si>
    <t xml:space="preserve">USP 3</t>
  </si>
  <si>
    <t xml:space="preserve">Cross-doc Contextual Synthesis</t>
  </si>
  <si>
    <t xml:space="preserve">Assemble personalized answers from multiple docs based on user's version, config, role, and specific question. Not 'here's a doc' but 'here's YOUR answer'.</t>
  </si>
  <si>
    <t xml:space="preserve">Glean: returns relevant docs, doesn't synthesize. Guru: surfaces cards, doesn't assemble. Intercom Fin: resolves from single KB articles, not cross-doc.</t>
  </si>
  <si>
    <t xml:space="preserve">Fundamentally different user experience. Instead of finding and reading docs, the user gets a resolved answer. This is the leap from search to resolution.</t>
  </si>
  <si>
    <t xml:space="preserve">STRONG. Requires deep knowledge graph + context engine + multi-source synthesis. Very hard to replicate without purpose-building for it.</t>
  </si>
  <si>
    <t xml:space="preserve">USP 4</t>
  </si>
  <si>
    <t xml:space="preserve">Contextual In-Product Delivery</t>
  </si>
  <si>
    <t xml:space="preserve">Push the right knowledge to the user at the right moment inside the SaaS product they're using. Knowledge comes to them, they don't go to knowledge.</t>
  </si>
  <si>
    <t xml:space="preserve">WalkMe/Pendo: in-app guidance but not connected to full doc corpus. Intercom: chat widget but limited to support scenarios. Glean: internal only.</t>
  </si>
  <si>
    <t xml:space="preserve">We embed a knowledge layer inside someone else's product that's powered by their full documentation intelligence. This is the 'invisible docs' play.</t>
  </si>
  <si>
    <t xml:space="preserve">MODERATE-STRONG. Embeddable widget is replicable. The intelligence behind what to surface when is the hard part.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</si>
</sst>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1B6B3A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1"/>
      <color rgb="FF1B6B3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2D5F8A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D966"/>
        <bgColor rgb="FFF8CBAD"/>
      </patternFill>
    </fill>
    <fill>
      <patternFill patternType="solid">
        <fgColor rgb="FFC6EFCE"/>
        <bgColor rgb="FFD9E2F3"/>
      </patternFill>
    </fill>
    <fill>
      <patternFill patternType="solid">
        <fgColor rgb="FFFFD700"/>
        <bgColor rgb="FFFFFF00"/>
      </patternFill>
    </fill>
    <fill>
      <patternFill patternType="solid">
        <fgColor rgb="FFBDD7EE"/>
        <bgColor rgb="FFB4C7E7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BDD7EE"/>
      </patternFill>
    </fill>
    <fill>
      <patternFill patternType="solid">
        <fgColor rgb="FFA9D18E"/>
        <bgColor rgb="FFD0D0D0"/>
      </patternFill>
    </fill>
    <fill>
      <patternFill patternType="solid">
        <fgColor rgb="FFB4C7E7"/>
        <bgColor rgb="FF9DC3E6"/>
      </patternFill>
    </fill>
    <fill>
      <patternFill patternType="solid">
        <fgColor rgb="FFF4B084"/>
        <bgColor rgb="FFF8CBAD"/>
      </patternFill>
    </fill>
    <fill>
      <patternFill patternType="solid">
        <fgColor rgb="FFF4CCCC"/>
        <bgColor rgb="FFF8CBAD"/>
      </patternFill>
    </fill>
    <fill>
      <patternFill patternType="solid">
        <fgColor rgb="FF9DC3E6"/>
        <bgColor rgb="FFB4C7E7"/>
      </patternFill>
    </fill>
    <fill>
      <patternFill patternType="solid">
        <fgColor rgb="FFE2BFDC"/>
        <bgColor rgb="FFF4CCCC"/>
      </patternFill>
    </fill>
    <fill>
      <patternFill patternType="solid">
        <fgColor rgb="FFD5A6E6"/>
        <bgColor rgb="FFE2BFDC"/>
      </patternFill>
    </fill>
    <fill>
      <patternFill patternType="solid">
        <fgColor rgb="FFF8CBAD"/>
        <bgColor rgb="FFF4CCCC"/>
      </patternFill>
    </fill>
    <fill>
      <patternFill patternType="solid">
        <fgColor rgb="FF2D5F8A"/>
        <bgColor rgb="FF4472C4"/>
      </patternFill>
    </fill>
    <fill>
      <patternFill patternType="solid">
        <fgColor rgb="FF4472C4"/>
        <bgColor rgb="FF2D5F8A"/>
      </patternFill>
    </fill>
    <fill>
      <patternFill patternType="solid">
        <fgColor rgb="FF7030A0"/>
        <bgColor rgb="FF993366"/>
      </patternFill>
    </fill>
    <fill>
      <patternFill patternType="solid">
        <fgColor rgb="FF70AD47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B4C7E7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5A6E6"/>
          <bgColor rgb="FF000000"/>
        </patternFill>
      </fill>
    </dxf>
    <dxf>
      <fill>
        <patternFill patternType="solid">
          <fgColor rgb="FFE2BFDC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D700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 patternType="solid">
          <fgColor rgb="FF55555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A"/>
      <rgbColor rgb="FF000080"/>
      <rgbColor rgb="FFB8860B"/>
      <rgbColor rgb="FF800080"/>
      <rgbColor rgb="FF008080"/>
      <rgbColor rgb="FFB4C7E7"/>
      <rgbColor rgb="FF808080"/>
      <rgbColor rgb="FFE2BFDC"/>
      <rgbColor rgb="FF7030A0"/>
      <rgbColor rgb="FFFFF2CC"/>
      <rgbColor rgb="FFD9E2F3"/>
      <rgbColor rgb="FF660066"/>
      <rgbColor rgb="FFF4CCCC"/>
      <rgbColor rgb="FF2D5F8A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D0D0"/>
      <rgbColor rgb="FFC6EFCE"/>
      <rgbColor rgb="FFFFD966"/>
      <rgbColor rgb="FF9DC3E6"/>
      <rgbColor rgb="FFF4B084"/>
      <rgbColor rgb="FFD5A6E6"/>
      <rgbColor rgb="FFF8CBAD"/>
      <rgbColor rgb="FF4472C4"/>
      <rgbColor rgb="FF33CCCC"/>
      <rgbColor rgb="FFA9D18E"/>
      <rgbColor rgb="FFFFD700"/>
      <rgbColor rgb="FFFF9900"/>
      <rgbColor rgb="FFFF6600"/>
      <rgbColor rgb="FF555555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32"/>
    <col collapsed="false" customWidth="true" hidden="false" outlineLevel="0" max="7" min="5" style="0" width="10"/>
    <col collapsed="false" customWidth="true" hidden="false" outlineLevel="0" max="8" min="8" style="0" width="14"/>
    <col collapsed="false" customWidth="true" hidden="false" outlineLevel="0" max="10" min="9" style="0" width="8"/>
    <col collapsed="false" customWidth="true" hidden="false" outlineLevel="0" max="11" min="11" style="0" width="45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42" hidden="false" customHeight="true" outlineLevel="0" collapsed="false">
      <c r="A2" s="2" t="n">
        <v>1</v>
      </c>
      <c r="B2" s="3" t="s">
        <v>11</v>
      </c>
      <c r="C2" s="4" t="s">
        <v>12</v>
      </c>
      <c r="D2" s="5" t="s">
        <v>13</v>
      </c>
      <c r="E2" s="6" t="n">
        <v>8</v>
      </c>
      <c r="F2" s="6" t="n">
        <v>5</v>
      </c>
      <c r="G2" s="6" t="n">
        <f aca="false">E2*1.5-F2</f>
        <v>7</v>
      </c>
      <c r="H2" s="7" t="s">
        <v>14</v>
      </c>
      <c r="I2" s="8" t="s">
        <v>15</v>
      </c>
      <c r="J2" s="6" t="n">
        <v>1</v>
      </c>
      <c r="K2" s="9" t="s">
        <v>16</v>
      </c>
    </row>
    <row r="3" customFormat="false" ht="42" hidden="false" customHeight="true" outlineLevel="0" collapsed="false">
      <c r="A3" s="2" t="n">
        <v>2</v>
      </c>
      <c r="B3" s="3" t="s">
        <v>11</v>
      </c>
      <c r="C3" s="4" t="s">
        <v>17</v>
      </c>
      <c r="D3" s="10" t="s">
        <v>18</v>
      </c>
      <c r="E3" s="6" t="n">
        <v>7</v>
      </c>
      <c r="F3" s="6" t="n">
        <v>7</v>
      </c>
      <c r="G3" s="6" t="n">
        <f aca="false">E3*1.5-F3</f>
        <v>3.5</v>
      </c>
      <c r="H3" s="11" t="s">
        <v>19</v>
      </c>
      <c r="I3" s="2"/>
      <c r="J3" s="6" t="n">
        <v>3</v>
      </c>
      <c r="K3" s="9" t="s">
        <v>20</v>
      </c>
    </row>
    <row r="4" customFormat="false" ht="42" hidden="false" customHeight="true" outlineLevel="0" collapsed="false">
      <c r="A4" s="2" t="n">
        <v>3</v>
      </c>
      <c r="B4" s="3" t="s">
        <v>11</v>
      </c>
      <c r="C4" s="4" t="s">
        <v>21</v>
      </c>
      <c r="D4" s="10" t="s">
        <v>18</v>
      </c>
      <c r="E4" s="6" t="n">
        <v>5</v>
      </c>
      <c r="F4" s="6" t="n">
        <v>3</v>
      </c>
      <c r="G4" s="6" t="n">
        <f aca="false">E4*1.5-F4</f>
        <v>4.5</v>
      </c>
      <c r="H4" s="12" t="s">
        <v>22</v>
      </c>
      <c r="I4" s="2"/>
      <c r="J4" s="6" t="n">
        <v>3</v>
      </c>
      <c r="K4" s="9" t="s">
        <v>23</v>
      </c>
    </row>
    <row r="5" customFormat="false" ht="42" hidden="false" customHeight="true" outlineLevel="0" collapsed="false">
      <c r="A5" s="2" t="n">
        <v>4</v>
      </c>
      <c r="B5" s="3" t="s">
        <v>11</v>
      </c>
      <c r="C5" s="4" t="s">
        <v>24</v>
      </c>
      <c r="D5" s="13" t="s">
        <v>25</v>
      </c>
      <c r="E5" s="6" t="n">
        <v>6</v>
      </c>
      <c r="F5" s="6" t="n">
        <v>6</v>
      </c>
      <c r="G5" s="6" t="n">
        <f aca="false">E5*1.5-F5</f>
        <v>3</v>
      </c>
      <c r="H5" s="12" t="s">
        <v>22</v>
      </c>
      <c r="I5" s="2"/>
      <c r="J5" s="6" t="n">
        <v>2</v>
      </c>
      <c r="K5" s="9" t="s">
        <v>26</v>
      </c>
    </row>
    <row r="6" customFormat="false" ht="42" hidden="false" customHeight="true" outlineLevel="0" collapsed="false">
      <c r="A6" s="2" t="n">
        <v>5</v>
      </c>
      <c r="B6" s="3" t="s">
        <v>11</v>
      </c>
      <c r="C6" s="4" t="s">
        <v>27</v>
      </c>
      <c r="D6" s="14" t="s">
        <v>28</v>
      </c>
      <c r="E6" s="6" t="n">
        <v>7</v>
      </c>
      <c r="F6" s="6" t="n">
        <v>7</v>
      </c>
      <c r="G6" s="6" t="n">
        <f aca="false">E6*1.5-F6</f>
        <v>3.5</v>
      </c>
      <c r="H6" s="11" t="s">
        <v>19</v>
      </c>
      <c r="I6" s="2"/>
      <c r="J6" s="6" t="n">
        <v>1</v>
      </c>
      <c r="K6" s="9" t="s">
        <v>29</v>
      </c>
    </row>
    <row r="7" customFormat="false" ht="42" hidden="false" customHeight="true" outlineLevel="0" collapsed="false">
      <c r="A7" s="2" t="n">
        <v>6</v>
      </c>
      <c r="B7" s="3" t="s">
        <v>11</v>
      </c>
      <c r="C7" s="4" t="s">
        <v>30</v>
      </c>
      <c r="D7" s="13" t="s">
        <v>25</v>
      </c>
      <c r="E7" s="6" t="n">
        <v>6</v>
      </c>
      <c r="F7" s="6" t="n">
        <v>4</v>
      </c>
      <c r="G7" s="6" t="n">
        <f aca="false">E7*1.5-F7</f>
        <v>5</v>
      </c>
      <c r="H7" s="12" t="s">
        <v>22</v>
      </c>
      <c r="I7" s="2"/>
      <c r="J7" s="6" t="n">
        <v>2</v>
      </c>
      <c r="K7" s="9" t="s">
        <v>31</v>
      </c>
    </row>
    <row r="8" customFormat="false" ht="42" hidden="false" customHeight="true" outlineLevel="0" collapsed="false">
      <c r="A8" s="2" t="n">
        <v>7</v>
      </c>
      <c r="B8" s="3" t="s">
        <v>11</v>
      </c>
      <c r="C8" s="4" t="s">
        <v>32</v>
      </c>
      <c r="D8" s="10" t="s">
        <v>18</v>
      </c>
      <c r="E8" s="6" t="n">
        <v>7</v>
      </c>
      <c r="F8" s="6" t="n">
        <v>8</v>
      </c>
      <c r="G8" s="6" t="n">
        <f aca="false">E8*1.5-F8</f>
        <v>2.5</v>
      </c>
      <c r="H8" s="11" t="s">
        <v>19</v>
      </c>
      <c r="I8" s="2"/>
      <c r="J8" s="6" t="n">
        <v>3</v>
      </c>
      <c r="K8" s="9" t="s">
        <v>33</v>
      </c>
    </row>
    <row r="9" customFormat="false" ht="42" hidden="false" customHeight="true" outlineLevel="0" collapsed="false">
      <c r="A9" s="2" t="n">
        <v>8</v>
      </c>
      <c r="B9" s="3" t="s">
        <v>34</v>
      </c>
      <c r="C9" s="4" t="s">
        <v>35</v>
      </c>
      <c r="D9" s="15" t="s">
        <v>36</v>
      </c>
      <c r="E9" s="6" t="n">
        <v>9</v>
      </c>
      <c r="F9" s="6" t="n">
        <v>6</v>
      </c>
      <c r="G9" s="6" t="n">
        <f aca="false">E9*1.5-F9</f>
        <v>7.5</v>
      </c>
      <c r="H9" s="7" t="s">
        <v>14</v>
      </c>
      <c r="I9" s="8" t="s">
        <v>15</v>
      </c>
      <c r="J9" s="6" t="n">
        <v>1</v>
      </c>
      <c r="K9" s="9" t="s">
        <v>37</v>
      </c>
    </row>
    <row r="10" customFormat="false" ht="42" hidden="false" customHeight="true" outlineLevel="0" collapsed="false">
      <c r="A10" s="2" t="n">
        <v>9</v>
      </c>
      <c r="B10" s="3" t="s">
        <v>34</v>
      </c>
      <c r="C10" s="4" t="s">
        <v>38</v>
      </c>
      <c r="D10" s="13" t="s">
        <v>25</v>
      </c>
      <c r="E10" s="6" t="n">
        <v>6</v>
      </c>
      <c r="F10" s="6" t="n">
        <v>3</v>
      </c>
      <c r="G10" s="6" t="n">
        <f aca="false">E10*1.5-F10</f>
        <v>6</v>
      </c>
      <c r="H10" s="12" t="s">
        <v>22</v>
      </c>
      <c r="I10" s="2"/>
      <c r="J10" s="6" t="n">
        <v>2</v>
      </c>
      <c r="K10" s="9" t="s">
        <v>39</v>
      </c>
    </row>
    <row r="11" customFormat="false" ht="42" hidden="false" customHeight="true" outlineLevel="0" collapsed="false">
      <c r="A11" s="2" t="n">
        <v>10</v>
      </c>
      <c r="B11" s="3" t="s">
        <v>34</v>
      </c>
      <c r="C11" s="4" t="s">
        <v>40</v>
      </c>
      <c r="D11" s="15" t="s">
        <v>36</v>
      </c>
      <c r="E11" s="6" t="n">
        <v>7</v>
      </c>
      <c r="F11" s="6" t="n">
        <v>5</v>
      </c>
      <c r="G11" s="6" t="n">
        <f aca="false">E11*1.5-F11</f>
        <v>5.5</v>
      </c>
      <c r="H11" s="7" t="s">
        <v>14</v>
      </c>
      <c r="I11" s="2"/>
      <c r="J11" s="6" t="n">
        <v>1</v>
      </c>
      <c r="K11" s="9" t="s">
        <v>41</v>
      </c>
    </row>
    <row r="12" customFormat="false" ht="42" hidden="false" customHeight="true" outlineLevel="0" collapsed="false">
      <c r="A12" s="2" t="n">
        <v>11</v>
      </c>
      <c r="B12" s="3" t="s">
        <v>34</v>
      </c>
      <c r="C12" s="4" t="s">
        <v>42</v>
      </c>
      <c r="D12" s="15" t="s">
        <v>36</v>
      </c>
      <c r="E12" s="6" t="n">
        <v>8</v>
      </c>
      <c r="F12" s="6" t="n">
        <v>7</v>
      </c>
      <c r="G12" s="6" t="n">
        <f aca="false">E12*1.5-F12</f>
        <v>5</v>
      </c>
      <c r="H12" s="11" t="s">
        <v>19</v>
      </c>
      <c r="I12" s="8" t="s">
        <v>15</v>
      </c>
      <c r="J12" s="6" t="n">
        <v>1</v>
      </c>
      <c r="K12" s="9" t="s">
        <v>43</v>
      </c>
    </row>
    <row r="13" customFormat="false" ht="42" hidden="false" customHeight="true" outlineLevel="0" collapsed="false">
      <c r="A13" s="2" t="n">
        <v>12</v>
      </c>
      <c r="B13" s="3" t="s">
        <v>34</v>
      </c>
      <c r="C13" s="4" t="s">
        <v>44</v>
      </c>
      <c r="D13" s="16" t="s">
        <v>45</v>
      </c>
      <c r="E13" s="6" t="n">
        <v>7</v>
      </c>
      <c r="F13" s="6" t="n">
        <v>4</v>
      </c>
      <c r="G13" s="6" t="n">
        <f aca="false">E13*1.5-F13</f>
        <v>6.5</v>
      </c>
      <c r="H13" s="7" t="s">
        <v>14</v>
      </c>
      <c r="I13" s="2"/>
      <c r="J13" s="6" t="n">
        <v>2</v>
      </c>
      <c r="K13" s="9" t="s">
        <v>46</v>
      </c>
    </row>
    <row r="14" customFormat="false" ht="42" hidden="false" customHeight="true" outlineLevel="0" collapsed="false">
      <c r="A14" s="2" t="n">
        <v>13</v>
      </c>
      <c r="B14" s="3" t="s">
        <v>34</v>
      </c>
      <c r="C14" s="4" t="s">
        <v>47</v>
      </c>
      <c r="D14" s="16" t="s">
        <v>45</v>
      </c>
      <c r="E14" s="6" t="n">
        <v>5</v>
      </c>
      <c r="F14" s="6" t="n">
        <v>8</v>
      </c>
      <c r="G14" s="6" t="n">
        <f aca="false">E14*1.5-F14</f>
        <v>-0.5</v>
      </c>
      <c r="H14" s="17" t="s">
        <v>48</v>
      </c>
      <c r="I14" s="2"/>
      <c r="J14" s="6" t="n">
        <v>2</v>
      </c>
      <c r="K14" s="9" t="s">
        <v>49</v>
      </c>
    </row>
    <row r="15" customFormat="false" ht="42" hidden="false" customHeight="true" outlineLevel="0" collapsed="false">
      <c r="A15" s="2" t="n">
        <v>14</v>
      </c>
      <c r="B15" s="3" t="s">
        <v>50</v>
      </c>
      <c r="C15" s="4" t="s">
        <v>51</v>
      </c>
      <c r="D15" s="14" t="s">
        <v>28</v>
      </c>
      <c r="E15" s="6" t="n">
        <v>9</v>
      </c>
      <c r="F15" s="6" t="n">
        <v>5</v>
      </c>
      <c r="G15" s="6" t="n">
        <f aca="false">E15*1.5-F15</f>
        <v>8.5</v>
      </c>
      <c r="H15" s="7" t="s">
        <v>14</v>
      </c>
      <c r="I15" s="2"/>
      <c r="J15" s="6" t="n">
        <v>1</v>
      </c>
      <c r="K15" s="9" t="s">
        <v>52</v>
      </c>
    </row>
    <row r="16" customFormat="false" ht="42" hidden="false" customHeight="true" outlineLevel="0" collapsed="false">
      <c r="A16" s="2" t="n">
        <v>15</v>
      </c>
      <c r="B16" s="3" t="s">
        <v>50</v>
      </c>
      <c r="C16" s="4" t="s">
        <v>53</v>
      </c>
      <c r="D16" s="14" t="s">
        <v>28</v>
      </c>
      <c r="E16" s="6" t="n">
        <v>8</v>
      </c>
      <c r="F16" s="6" t="n">
        <v>7</v>
      </c>
      <c r="G16" s="6" t="n">
        <f aca="false">E16*1.5-F16</f>
        <v>5</v>
      </c>
      <c r="H16" s="11" t="s">
        <v>19</v>
      </c>
      <c r="I16" s="2"/>
      <c r="J16" s="6" t="n">
        <v>1</v>
      </c>
      <c r="K16" s="9" t="s">
        <v>54</v>
      </c>
    </row>
    <row r="17" customFormat="false" ht="42" hidden="false" customHeight="true" outlineLevel="0" collapsed="false">
      <c r="A17" s="2" t="n">
        <v>16</v>
      </c>
      <c r="B17" s="3" t="s">
        <v>50</v>
      </c>
      <c r="C17" s="4" t="s">
        <v>55</v>
      </c>
      <c r="D17" s="13" t="s">
        <v>25</v>
      </c>
      <c r="E17" s="6" t="n">
        <v>6</v>
      </c>
      <c r="F17" s="6" t="n">
        <v>6</v>
      </c>
      <c r="G17" s="6" t="n">
        <f aca="false">E17*1.5-F17</f>
        <v>3</v>
      </c>
      <c r="H17" s="12" t="s">
        <v>22</v>
      </c>
      <c r="I17" s="2"/>
      <c r="J17" s="6" t="n">
        <v>2</v>
      </c>
      <c r="K17" s="9" t="s">
        <v>56</v>
      </c>
    </row>
    <row r="18" customFormat="false" ht="42" hidden="false" customHeight="true" outlineLevel="0" collapsed="false">
      <c r="A18" s="2" t="n">
        <v>17</v>
      </c>
      <c r="B18" s="3" t="s">
        <v>50</v>
      </c>
      <c r="C18" s="4" t="s">
        <v>57</v>
      </c>
      <c r="D18" s="18" t="s">
        <v>58</v>
      </c>
      <c r="E18" s="6" t="n">
        <v>9</v>
      </c>
      <c r="F18" s="6" t="n">
        <v>8</v>
      </c>
      <c r="G18" s="6" t="n">
        <f aca="false">E18*1.5-F18</f>
        <v>5.5</v>
      </c>
      <c r="H18" s="11" t="s">
        <v>19</v>
      </c>
      <c r="I18" s="8" t="s">
        <v>15</v>
      </c>
      <c r="J18" s="6" t="n">
        <v>2</v>
      </c>
      <c r="K18" s="9" t="s">
        <v>59</v>
      </c>
    </row>
    <row r="19" customFormat="false" ht="42" hidden="false" customHeight="true" outlineLevel="0" collapsed="false">
      <c r="A19" s="2" t="n">
        <v>18</v>
      </c>
      <c r="B19" s="3" t="s">
        <v>50</v>
      </c>
      <c r="C19" s="4" t="s">
        <v>60</v>
      </c>
      <c r="D19" s="5" t="s">
        <v>13</v>
      </c>
      <c r="E19" s="6" t="n">
        <v>8</v>
      </c>
      <c r="F19" s="6" t="n">
        <v>7</v>
      </c>
      <c r="G19" s="6" t="n">
        <f aca="false">E19*1.5-F19</f>
        <v>5</v>
      </c>
      <c r="H19" s="11" t="s">
        <v>19</v>
      </c>
      <c r="I19" s="2"/>
      <c r="J19" s="6" t="n">
        <v>1</v>
      </c>
      <c r="K19" s="9" t="s">
        <v>61</v>
      </c>
    </row>
    <row r="20" customFormat="false" ht="42" hidden="false" customHeight="true" outlineLevel="0" collapsed="false">
      <c r="A20" s="2" t="n">
        <v>19</v>
      </c>
      <c r="B20" s="3" t="s">
        <v>50</v>
      </c>
      <c r="C20" s="4" t="s">
        <v>62</v>
      </c>
      <c r="D20" s="14" t="s">
        <v>28</v>
      </c>
      <c r="E20" s="6" t="n">
        <v>5</v>
      </c>
      <c r="F20" s="6" t="n">
        <v>4</v>
      </c>
      <c r="G20" s="6" t="n">
        <f aca="false">E20*1.5-F20</f>
        <v>3.5</v>
      </c>
      <c r="H20" s="12" t="s">
        <v>22</v>
      </c>
      <c r="I20" s="2"/>
      <c r="J20" s="6" t="n">
        <v>1</v>
      </c>
      <c r="K20" s="9" t="s">
        <v>63</v>
      </c>
    </row>
    <row r="21" customFormat="false" ht="42" hidden="false" customHeight="true" outlineLevel="0" collapsed="false">
      <c r="A21" s="2" t="n">
        <v>20</v>
      </c>
      <c r="B21" s="3" t="s">
        <v>64</v>
      </c>
      <c r="C21" s="4" t="s">
        <v>65</v>
      </c>
      <c r="D21" s="19" t="s">
        <v>66</v>
      </c>
      <c r="E21" s="6" t="n">
        <v>10</v>
      </c>
      <c r="F21" s="6" t="n">
        <v>8</v>
      </c>
      <c r="G21" s="6" t="n">
        <f aca="false">E21*1.5-F21</f>
        <v>7</v>
      </c>
      <c r="H21" s="11" t="s">
        <v>19</v>
      </c>
      <c r="I21" s="8" t="s">
        <v>15</v>
      </c>
      <c r="J21" s="6" t="n">
        <v>3</v>
      </c>
      <c r="K21" s="9" t="s">
        <v>67</v>
      </c>
    </row>
    <row r="22" customFormat="false" ht="42" hidden="false" customHeight="true" outlineLevel="0" collapsed="false">
      <c r="A22" s="2" t="n">
        <v>21</v>
      </c>
      <c r="B22" s="3" t="s">
        <v>64</v>
      </c>
      <c r="C22" s="4" t="s">
        <v>68</v>
      </c>
      <c r="D22" s="19" t="s">
        <v>66</v>
      </c>
      <c r="E22" s="6" t="n">
        <v>8</v>
      </c>
      <c r="F22" s="6" t="n">
        <v>7</v>
      </c>
      <c r="G22" s="6" t="n">
        <f aca="false">E22*1.5-F22</f>
        <v>5</v>
      </c>
      <c r="H22" s="11" t="s">
        <v>19</v>
      </c>
      <c r="I22" s="2"/>
      <c r="J22" s="6" t="n">
        <v>3</v>
      </c>
      <c r="K22" s="9" t="s">
        <v>69</v>
      </c>
    </row>
    <row r="23" customFormat="false" ht="42" hidden="false" customHeight="true" outlineLevel="0" collapsed="false">
      <c r="A23" s="2" t="n">
        <v>22</v>
      </c>
      <c r="B23" s="3" t="s">
        <v>64</v>
      </c>
      <c r="C23" s="4" t="s">
        <v>70</v>
      </c>
      <c r="D23" s="18" t="s">
        <v>58</v>
      </c>
      <c r="E23" s="6" t="n">
        <v>6</v>
      </c>
      <c r="F23" s="6" t="n">
        <v>6</v>
      </c>
      <c r="G23" s="6" t="n">
        <f aca="false">E23*1.5-F23</f>
        <v>3</v>
      </c>
      <c r="H23" s="12" t="s">
        <v>22</v>
      </c>
      <c r="I23" s="2"/>
      <c r="J23" s="6" t="n">
        <v>2</v>
      </c>
      <c r="K23" s="9" t="s">
        <v>71</v>
      </c>
    </row>
    <row r="24" customFormat="false" ht="42" hidden="false" customHeight="true" outlineLevel="0" collapsed="false">
      <c r="A24" s="2" t="n">
        <v>23</v>
      </c>
      <c r="B24" s="3" t="s">
        <v>64</v>
      </c>
      <c r="C24" s="4" t="s">
        <v>72</v>
      </c>
      <c r="D24" s="19" t="s">
        <v>66</v>
      </c>
      <c r="E24" s="6" t="n">
        <v>9</v>
      </c>
      <c r="F24" s="6" t="n">
        <v>7</v>
      </c>
      <c r="G24" s="6" t="n">
        <f aca="false">E24*1.5-F24</f>
        <v>6.5</v>
      </c>
      <c r="H24" s="11" t="s">
        <v>19</v>
      </c>
      <c r="I24" s="8" t="s">
        <v>15</v>
      </c>
      <c r="J24" s="6" t="n">
        <v>3</v>
      </c>
      <c r="K24" s="9" t="s">
        <v>73</v>
      </c>
    </row>
    <row r="25" customFormat="false" ht="42" hidden="false" customHeight="true" outlineLevel="0" collapsed="false">
      <c r="A25" s="2" t="n">
        <v>24</v>
      </c>
      <c r="B25" s="3" t="s">
        <v>64</v>
      </c>
      <c r="C25" s="4" t="s">
        <v>74</v>
      </c>
      <c r="D25" s="20" t="s">
        <v>75</v>
      </c>
      <c r="E25" s="6" t="n">
        <v>8</v>
      </c>
      <c r="F25" s="6" t="n">
        <v>5</v>
      </c>
      <c r="G25" s="6" t="n">
        <f aca="false">E25*1.5-F25</f>
        <v>7</v>
      </c>
      <c r="H25" s="7" t="s">
        <v>14</v>
      </c>
      <c r="I25" s="2"/>
      <c r="J25" s="6" t="n">
        <v>1</v>
      </c>
      <c r="K25" s="9" t="s">
        <v>76</v>
      </c>
    </row>
    <row r="26" customFormat="false" ht="42" hidden="false" customHeight="true" outlineLevel="0" collapsed="false">
      <c r="A26" s="2" t="n">
        <v>25</v>
      </c>
      <c r="B26" s="3" t="s">
        <v>64</v>
      </c>
      <c r="C26" s="4" t="s">
        <v>77</v>
      </c>
      <c r="D26" s="18" t="s">
        <v>58</v>
      </c>
      <c r="E26" s="6" t="n">
        <v>6</v>
      </c>
      <c r="F26" s="6" t="n">
        <v>7</v>
      </c>
      <c r="G26" s="6" t="n">
        <f aca="false">E26*1.5-F26</f>
        <v>2</v>
      </c>
      <c r="H26" s="17" t="s">
        <v>48</v>
      </c>
      <c r="I26" s="2"/>
      <c r="J26" s="6" t="n">
        <v>2</v>
      </c>
      <c r="K26" s="9" t="s">
        <v>78</v>
      </c>
    </row>
    <row r="27" customFormat="false" ht="42" hidden="false" customHeight="true" outlineLevel="0" collapsed="false">
      <c r="A27" s="2" t="n">
        <v>26</v>
      </c>
      <c r="B27" s="3" t="s">
        <v>64</v>
      </c>
      <c r="C27" s="4" t="s">
        <v>79</v>
      </c>
      <c r="D27" s="5" t="s">
        <v>13</v>
      </c>
      <c r="E27" s="6" t="n">
        <v>7</v>
      </c>
      <c r="F27" s="6" t="n">
        <v>3</v>
      </c>
      <c r="G27" s="6" t="n">
        <f aca="false">E27*1.5-F27</f>
        <v>7.5</v>
      </c>
      <c r="H27" s="7" t="s">
        <v>14</v>
      </c>
      <c r="I27" s="2"/>
      <c r="J27" s="6" t="n">
        <v>1</v>
      </c>
      <c r="K27" s="9" t="s">
        <v>80</v>
      </c>
    </row>
    <row r="28" customFormat="false" ht="42" hidden="false" customHeight="true" outlineLevel="0" collapsed="false">
      <c r="A28" s="2" t="n">
        <v>27</v>
      </c>
      <c r="B28" s="3" t="s">
        <v>81</v>
      </c>
      <c r="C28" s="4" t="s">
        <v>82</v>
      </c>
      <c r="D28" s="16" t="s">
        <v>45</v>
      </c>
      <c r="E28" s="6" t="n">
        <v>10</v>
      </c>
      <c r="F28" s="6" t="n">
        <v>6</v>
      </c>
      <c r="G28" s="6" t="n">
        <f aca="false">E28*1.5-F28</f>
        <v>9</v>
      </c>
      <c r="H28" s="7" t="s">
        <v>14</v>
      </c>
      <c r="I28" s="2"/>
      <c r="J28" s="6" t="n">
        <v>2</v>
      </c>
      <c r="K28" s="9" t="s">
        <v>83</v>
      </c>
    </row>
    <row r="29" customFormat="false" ht="42" hidden="false" customHeight="true" outlineLevel="0" collapsed="false">
      <c r="A29" s="2" t="n">
        <v>28</v>
      </c>
      <c r="B29" s="3" t="s">
        <v>81</v>
      </c>
      <c r="C29" s="4" t="s">
        <v>84</v>
      </c>
      <c r="D29" s="20" t="s">
        <v>75</v>
      </c>
      <c r="E29" s="6" t="n">
        <v>8</v>
      </c>
      <c r="F29" s="6" t="n">
        <v>6</v>
      </c>
      <c r="G29" s="6" t="n">
        <f aca="false">E29*1.5-F29</f>
        <v>6</v>
      </c>
      <c r="H29" s="7" t="s">
        <v>14</v>
      </c>
      <c r="I29" s="2"/>
      <c r="J29" s="6" t="n">
        <v>1</v>
      </c>
      <c r="K29" s="9" t="s">
        <v>85</v>
      </c>
    </row>
    <row r="30" customFormat="false" ht="42" hidden="false" customHeight="true" outlineLevel="0" collapsed="false">
      <c r="A30" s="2" t="n">
        <v>29</v>
      </c>
      <c r="B30" s="3" t="s">
        <v>81</v>
      </c>
      <c r="C30" s="4" t="s">
        <v>86</v>
      </c>
      <c r="D30" s="19" t="s">
        <v>66</v>
      </c>
      <c r="E30" s="6" t="n">
        <v>7</v>
      </c>
      <c r="F30" s="6" t="n">
        <v>8</v>
      </c>
      <c r="G30" s="6" t="n">
        <f aca="false">E30*1.5-F30</f>
        <v>2.5</v>
      </c>
      <c r="H30" s="11" t="s">
        <v>19</v>
      </c>
      <c r="I30" s="2"/>
      <c r="J30" s="6" t="n">
        <v>3</v>
      </c>
      <c r="K30" s="9" t="s">
        <v>87</v>
      </c>
    </row>
    <row r="31" customFormat="false" ht="42" hidden="false" customHeight="true" outlineLevel="0" collapsed="false">
      <c r="A31" s="2" t="n">
        <v>30</v>
      </c>
      <c r="B31" s="3" t="s">
        <v>81</v>
      </c>
      <c r="C31" s="4" t="s">
        <v>88</v>
      </c>
      <c r="D31" s="21" t="s">
        <v>89</v>
      </c>
      <c r="E31" s="6" t="n">
        <v>7</v>
      </c>
      <c r="F31" s="6" t="n">
        <v>5</v>
      </c>
      <c r="G31" s="6" t="n">
        <f aca="false">E31*1.5-F31</f>
        <v>5.5</v>
      </c>
      <c r="H31" s="7" t="s">
        <v>14</v>
      </c>
      <c r="I31" s="2"/>
      <c r="J31" s="6" t="n">
        <v>2</v>
      </c>
      <c r="K31" s="9" t="s">
        <v>90</v>
      </c>
    </row>
    <row r="32" customFormat="false" ht="42" hidden="false" customHeight="true" outlineLevel="0" collapsed="false">
      <c r="A32" s="2" t="n">
        <v>31</v>
      </c>
      <c r="B32" s="3" t="s">
        <v>81</v>
      </c>
      <c r="C32" s="4" t="s">
        <v>91</v>
      </c>
      <c r="D32" s="21" t="s">
        <v>89</v>
      </c>
      <c r="E32" s="6" t="n">
        <v>8</v>
      </c>
      <c r="F32" s="6" t="n">
        <v>6</v>
      </c>
      <c r="G32" s="6" t="n">
        <f aca="false">E32*1.5-F32</f>
        <v>6</v>
      </c>
      <c r="H32" s="7" t="s">
        <v>14</v>
      </c>
      <c r="I32" s="2"/>
      <c r="J32" s="6" t="n">
        <v>2</v>
      </c>
      <c r="K32" s="9" t="s">
        <v>92</v>
      </c>
    </row>
    <row r="33" customFormat="false" ht="42" hidden="false" customHeight="true" outlineLevel="0" collapsed="false">
      <c r="A33" s="2" t="n">
        <v>32</v>
      </c>
      <c r="B33" s="3" t="s">
        <v>81</v>
      </c>
      <c r="C33" s="4" t="s">
        <v>93</v>
      </c>
      <c r="D33" s="20" t="s">
        <v>75</v>
      </c>
      <c r="E33" s="6" t="n">
        <v>9</v>
      </c>
      <c r="F33" s="6" t="n">
        <v>7</v>
      </c>
      <c r="G33" s="6" t="n">
        <f aca="false">E33*1.5-F33</f>
        <v>6.5</v>
      </c>
      <c r="H33" s="11" t="s">
        <v>19</v>
      </c>
      <c r="I33" s="2"/>
      <c r="J33" s="6" t="n">
        <v>1</v>
      </c>
      <c r="K33" s="9" t="s">
        <v>94</v>
      </c>
    </row>
    <row r="34" customFormat="false" ht="42" hidden="false" customHeight="true" outlineLevel="0" collapsed="false">
      <c r="A34" s="2" t="n">
        <v>33</v>
      </c>
      <c r="B34" s="3" t="s">
        <v>95</v>
      </c>
      <c r="C34" s="4" t="s">
        <v>96</v>
      </c>
      <c r="D34" s="13" t="s">
        <v>25</v>
      </c>
      <c r="E34" s="6" t="n">
        <v>8</v>
      </c>
      <c r="F34" s="6" t="n">
        <v>6</v>
      </c>
      <c r="G34" s="6" t="n">
        <f aca="false">E34*1.5-F34</f>
        <v>6</v>
      </c>
      <c r="H34" s="7" t="s">
        <v>14</v>
      </c>
      <c r="I34" s="2"/>
      <c r="J34" s="6" t="n">
        <v>2</v>
      </c>
      <c r="K34" s="9" t="s">
        <v>97</v>
      </c>
    </row>
    <row r="35" customFormat="false" ht="42" hidden="false" customHeight="true" outlineLevel="0" collapsed="false">
      <c r="A35" s="2" t="n">
        <v>34</v>
      </c>
      <c r="B35" s="3" t="s">
        <v>95</v>
      </c>
      <c r="C35" s="4" t="s">
        <v>98</v>
      </c>
      <c r="D35" s="5" t="s">
        <v>13</v>
      </c>
      <c r="E35" s="6" t="n">
        <v>8</v>
      </c>
      <c r="F35" s="6" t="n">
        <v>4</v>
      </c>
      <c r="G35" s="6" t="n">
        <f aca="false">E35*1.5-F35</f>
        <v>8</v>
      </c>
      <c r="H35" s="7" t="s">
        <v>14</v>
      </c>
      <c r="I35" s="8" t="s">
        <v>15</v>
      </c>
      <c r="J35" s="6" t="n">
        <v>1</v>
      </c>
      <c r="K35" s="9" t="s">
        <v>99</v>
      </c>
    </row>
    <row r="36" customFormat="false" ht="42" hidden="false" customHeight="true" outlineLevel="0" collapsed="false">
      <c r="A36" s="2" t="n">
        <v>35</v>
      </c>
      <c r="B36" s="3" t="s">
        <v>95</v>
      </c>
      <c r="C36" s="4" t="s">
        <v>100</v>
      </c>
      <c r="D36" s="16" t="s">
        <v>45</v>
      </c>
      <c r="E36" s="6" t="n">
        <v>7</v>
      </c>
      <c r="F36" s="6" t="n">
        <v>4</v>
      </c>
      <c r="G36" s="6" t="n">
        <f aca="false">E36*1.5-F36</f>
        <v>6.5</v>
      </c>
      <c r="H36" s="7" t="s">
        <v>14</v>
      </c>
      <c r="I36" s="2"/>
      <c r="J36" s="6" t="n">
        <v>2</v>
      </c>
      <c r="K36" s="9" t="s">
        <v>101</v>
      </c>
    </row>
    <row r="37" customFormat="false" ht="42" hidden="false" customHeight="true" outlineLevel="0" collapsed="false">
      <c r="A37" s="2" t="n">
        <v>36</v>
      </c>
      <c r="B37" s="3" t="s">
        <v>95</v>
      </c>
      <c r="C37" s="4" t="s">
        <v>102</v>
      </c>
      <c r="D37" s="13" t="s">
        <v>25</v>
      </c>
      <c r="E37" s="6" t="n">
        <v>6</v>
      </c>
      <c r="F37" s="6" t="n">
        <v>7</v>
      </c>
      <c r="G37" s="6" t="n">
        <f aca="false">E37*1.5-F37</f>
        <v>2</v>
      </c>
      <c r="H37" s="17" t="s">
        <v>48</v>
      </c>
      <c r="I37" s="2"/>
      <c r="J37" s="6" t="n">
        <v>2</v>
      </c>
      <c r="K37" s="9" t="s">
        <v>103</v>
      </c>
    </row>
    <row r="38" customFormat="false" ht="42" hidden="false" customHeight="true" outlineLevel="0" collapsed="false">
      <c r="A38" s="2" t="n">
        <v>37</v>
      </c>
      <c r="B38" s="3" t="s">
        <v>95</v>
      </c>
      <c r="C38" s="4" t="s">
        <v>104</v>
      </c>
      <c r="D38" s="13" t="s">
        <v>25</v>
      </c>
      <c r="E38" s="6" t="n">
        <v>5</v>
      </c>
      <c r="F38" s="6" t="n">
        <v>7</v>
      </c>
      <c r="G38" s="6" t="n">
        <f aca="false">E38*1.5-F38</f>
        <v>0.5</v>
      </c>
      <c r="H38" s="17" t="s">
        <v>48</v>
      </c>
      <c r="I38" s="2"/>
      <c r="J38" s="6" t="n">
        <v>2</v>
      </c>
      <c r="K38" s="9" t="s">
        <v>105</v>
      </c>
    </row>
    <row r="39" customFormat="false" ht="42" hidden="false" customHeight="true" outlineLevel="0" collapsed="false">
      <c r="A39" s="2" t="n">
        <v>38</v>
      </c>
      <c r="B39" s="3" t="s">
        <v>106</v>
      </c>
      <c r="C39" s="4" t="s">
        <v>107</v>
      </c>
      <c r="D39" s="10" t="s">
        <v>18</v>
      </c>
      <c r="E39" s="6" t="n">
        <v>5</v>
      </c>
      <c r="F39" s="6" t="n">
        <v>7</v>
      </c>
      <c r="G39" s="6" t="n">
        <f aca="false">E39*1.5-F39</f>
        <v>0.5</v>
      </c>
      <c r="H39" s="17" t="s">
        <v>48</v>
      </c>
      <c r="I39" s="2"/>
      <c r="J39" s="6" t="n">
        <v>3</v>
      </c>
      <c r="K39" s="9" t="s">
        <v>108</v>
      </c>
    </row>
    <row r="40" customFormat="false" ht="42" hidden="false" customHeight="true" outlineLevel="0" collapsed="false">
      <c r="A40" s="2" t="n">
        <v>39</v>
      </c>
      <c r="B40" s="3" t="s">
        <v>106</v>
      </c>
      <c r="C40" s="4" t="s">
        <v>109</v>
      </c>
      <c r="D40" s="14" t="s">
        <v>28</v>
      </c>
      <c r="E40" s="6" t="n">
        <v>6</v>
      </c>
      <c r="F40" s="6" t="n">
        <v>6</v>
      </c>
      <c r="G40" s="6" t="n">
        <f aca="false">E40*1.5-F40</f>
        <v>3</v>
      </c>
      <c r="H40" s="12" t="s">
        <v>22</v>
      </c>
      <c r="I40" s="2"/>
      <c r="J40" s="6" t="n">
        <v>1</v>
      </c>
      <c r="K40" s="9" t="s">
        <v>110</v>
      </c>
    </row>
    <row r="41" customFormat="false" ht="42" hidden="false" customHeight="true" outlineLevel="0" collapsed="false">
      <c r="A41" s="2" t="n">
        <v>40</v>
      </c>
      <c r="B41" s="3" t="s">
        <v>106</v>
      </c>
      <c r="C41" s="4" t="s">
        <v>111</v>
      </c>
      <c r="D41" s="21" t="s">
        <v>89</v>
      </c>
      <c r="E41" s="6" t="n">
        <v>8</v>
      </c>
      <c r="F41" s="6" t="n">
        <v>6</v>
      </c>
      <c r="G41" s="6" t="n">
        <f aca="false">E41*1.5-F41</f>
        <v>6</v>
      </c>
      <c r="H41" s="7" t="s">
        <v>14</v>
      </c>
      <c r="I41" s="2"/>
      <c r="J41" s="6" t="n">
        <v>2</v>
      </c>
      <c r="K41" s="9" t="s">
        <v>112</v>
      </c>
    </row>
    <row r="42" customFormat="false" ht="42" hidden="false" customHeight="true" outlineLevel="0" collapsed="false">
      <c r="A42" s="2" t="n">
        <v>41</v>
      </c>
      <c r="B42" s="3" t="s">
        <v>106</v>
      </c>
      <c r="C42" s="4" t="s">
        <v>113</v>
      </c>
      <c r="D42" s="18" t="s">
        <v>58</v>
      </c>
      <c r="E42" s="6" t="n">
        <v>8</v>
      </c>
      <c r="F42" s="6" t="n">
        <v>7</v>
      </c>
      <c r="G42" s="6" t="n">
        <f aca="false">E42*1.5-F42</f>
        <v>5</v>
      </c>
      <c r="H42" s="11" t="s">
        <v>19</v>
      </c>
      <c r="I42" s="2"/>
      <c r="J42" s="6" t="n">
        <v>2</v>
      </c>
      <c r="K42" s="9" t="s">
        <v>114</v>
      </c>
    </row>
    <row r="43" customFormat="false" ht="42" hidden="false" customHeight="true" outlineLevel="0" collapsed="false">
      <c r="A43" s="2" t="n">
        <v>42</v>
      </c>
      <c r="B43" s="3" t="s">
        <v>106</v>
      </c>
      <c r="C43" s="4" t="s">
        <v>115</v>
      </c>
      <c r="D43" s="15" t="s">
        <v>36</v>
      </c>
      <c r="E43" s="6" t="n">
        <v>7</v>
      </c>
      <c r="F43" s="6" t="n">
        <v>5</v>
      </c>
      <c r="G43" s="6" t="n">
        <f aca="false">E43*1.5-F43</f>
        <v>5.5</v>
      </c>
      <c r="H43" s="7" t="s">
        <v>14</v>
      </c>
      <c r="I43" s="2"/>
      <c r="J43" s="6" t="n">
        <v>1</v>
      </c>
      <c r="K43" s="9" t="s">
        <v>116</v>
      </c>
    </row>
  </sheetData>
  <autoFilter ref="A1:K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45"/>
  </cols>
  <sheetData>
    <row r="1" customFormat="false" ht="30" hidden="false" customHeight="true" outlineLevel="0" collapsed="false">
      <c r="A1" s="22" t="s">
        <v>117</v>
      </c>
      <c r="B1" s="22"/>
      <c r="C1" s="22"/>
      <c r="D1" s="22"/>
      <c r="E1" s="22"/>
      <c r="F1" s="22"/>
      <c r="G1" s="22"/>
      <c r="H1" s="22"/>
      <c r="I1" s="22"/>
      <c r="J1" s="22"/>
    </row>
    <row r="2" customFormat="false" ht="39.75" hidden="false" customHeight="true" outlineLevel="0" collapsed="false">
      <c r="A2" s="1" t="s">
        <v>3</v>
      </c>
      <c r="B2" s="1" t="s">
        <v>118</v>
      </c>
      <c r="C2" s="1" t="s">
        <v>119</v>
      </c>
      <c r="D2" s="1" t="s">
        <v>9</v>
      </c>
      <c r="E2" s="1" t="s">
        <v>120</v>
      </c>
      <c r="F2" s="1" t="s">
        <v>121</v>
      </c>
      <c r="G2" s="1" t="s">
        <v>122</v>
      </c>
      <c r="H2" s="1" t="s">
        <v>123</v>
      </c>
      <c r="I2" s="1" t="s">
        <v>124</v>
      </c>
      <c r="J2" s="1" t="s">
        <v>125</v>
      </c>
    </row>
    <row r="3" customFormat="false" ht="54.75" hidden="false" customHeight="true" outlineLevel="0" collapsed="false">
      <c r="A3" s="23" t="s">
        <v>126</v>
      </c>
      <c r="B3" s="24" t="s">
        <v>127</v>
      </c>
      <c r="C3" s="25" t="n">
        <v>5</v>
      </c>
      <c r="D3" s="26" t="s">
        <v>128</v>
      </c>
      <c r="E3" s="4" t="s">
        <v>129</v>
      </c>
      <c r="F3" s="27" t="s">
        <v>130</v>
      </c>
      <c r="G3" s="28" t="s">
        <v>131</v>
      </c>
      <c r="H3" s="2" t="s">
        <v>132</v>
      </c>
      <c r="I3" s="2" t="s">
        <v>133</v>
      </c>
      <c r="J3" s="9" t="s">
        <v>134</v>
      </c>
    </row>
    <row r="4" customFormat="false" ht="54.75" hidden="false" customHeight="true" outlineLevel="0" collapsed="false">
      <c r="A4" s="7" t="s">
        <v>135</v>
      </c>
      <c r="B4" s="24" t="s">
        <v>136</v>
      </c>
      <c r="C4" s="25" t="n">
        <v>4</v>
      </c>
      <c r="D4" s="26" t="s">
        <v>128</v>
      </c>
      <c r="E4" s="4" t="s">
        <v>137</v>
      </c>
      <c r="F4" s="27" t="s">
        <v>138</v>
      </c>
      <c r="G4" s="28" t="s">
        <v>139</v>
      </c>
      <c r="H4" s="2" t="s">
        <v>132</v>
      </c>
      <c r="I4" s="8" t="n">
        <v>2</v>
      </c>
      <c r="J4" s="9" t="s">
        <v>140</v>
      </c>
    </row>
    <row r="5" customFormat="false" ht="54.75" hidden="false" customHeight="true" outlineLevel="0" collapsed="false">
      <c r="A5" s="29" t="s">
        <v>141</v>
      </c>
      <c r="B5" s="24" t="s">
        <v>142</v>
      </c>
      <c r="C5" s="25" t="n">
        <v>3</v>
      </c>
      <c r="D5" s="26" t="s">
        <v>128</v>
      </c>
      <c r="E5" s="4" t="s">
        <v>143</v>
      </c>
      <c r="F5" s="27" t="s">
        <v>144</v>
      </c>
      <c r="G5" s="28" t="s">
        <v>145</v>
      </c>
      <c r="H5" s="2" t="s">
        <v>146</v>
      </c>
      <c r="I5" s="2" t="s">
        <v>133</v>
      </c>
      <c r="J5" s="9" t="s">
        <v>147</v>
      </c>
    </row>
    <row r="6" customFormat="false" ht="54.75" hidden="false" customHeight="true" outlineLevel="0" collapsed="false">
      <c r="A6" s="30" t="s">
        <v>148</v>
      </c>
      <c r="B6" s="24" t="s">
        <v>149</v>
      </c>
      <c r="C6" s="25" t="n">
        <v>4</v>
      </c>
      <c r="D6" s="26" t="s">
        <v>128</v>
      </c>
      <c r="E6" s="4" t="s">
        <v>137</v>
      </c>
      <c r="F6" s="27" t="s">
        <v>138</v>
      </c>
      <c r="G6" s="28" t="s">
        <v>150</v>
      </c>
      <c r="H6" s="2" t="s">
        <v>132</v>
      </c>
      <c r="I6" s="8" t="n">
        <v>2</v>
      </c>
      <c r="J6" s="9" t="s">
        <v>151</v>
      </c>
    </row>
    <row r="7" customFormat="false" ht="54.75" hidden="false" customHeight="true" outlineLevel="0" collapsed="false">
      <c r="A7" s="31" t="s">
        <v>152</v>
      </c>
      <c r="B7" s="24" t="s">
        <v>153</v>
      </c>
      <c r="C7" s="25" t="n">
        <v>4</v>
      </c>
      <c r="D7" s="26" t="s">
        <v>154</v>
      </c>
      <c r="E7" s="4" t="s">
        <v>155</v>
      </c>
      <c r="F7" s="27" t="s">
        <v>156</v>
      </c>
      <c r="G7" s="28" t="s">
        <v>139</v>
      </c>
      <c r="H7" s="2" t="s">
        <v>132</v>
      </c>
      <c r="I7" s="2" t="s">
        <v>133</v>
      </c>
      <c r="J7" s="9" t="s">
        <v>157</v>
      </c>
    </row>
    <row r="8" customFormat="false" ht="54.75" hidden="false" customHeight="true" outlineLevel="0" collapsed="false">
      <c r="A8" s="32" t="s">
        <v>158</v>
      </c>
      <c r="B8" s="24" t="s">
        <v>159</v>
      </c>
      <c r="C8" s="25" t="n">
        <v>4</v>
      </c>
      <c r="D8" s="26" t="s">
        <v>154</v>
      </c>
      <c r="E8" s="4" t="s">
        <v>160</v>
      </c>
      <c r="F8" s="27" t="s">
        <v>138</v>
      </c>
      <c r="G8" s="28" t="s">
        <v>161</v>
      </c>
      <c r="H8" s="2" t="s">
        <v>132</v>
      </c>
      <c r="I8" s="8" t="n">
        <v>1</v>
      </c>
      <c r="J8" s="9" t="s">
        <v>162</v>
      </c>
    </row>
    <row r="9" customFormat="false" ht="54.75" hidden="false" customHeight="true" outlineLevel="0" collapsed="false">
      <c r="A9" s="33" t="s">
        <v>163</v>
      </c>
      <c r="B9" s="24" t="s">
        <v>164</v>
      </c>
      <c r="C9" s="25" t="n">
        <v>4</v>
      </c>
      <c r="D9" s="26" t="s">
        <v>165</v>
      </c>
      <c r="E9" s="4" t="s">
        <v>137</v>
      </c>
      <c r="F9" s="27" t="s">
        <v>138</v>
      </c>
      <c r="G9" s="28" t="s">
        <v>166</v>
      </c>
      <c r="H9" s="2" t="s">
        <v>132</v>
      </c>
      <c r="I9" s="8" t="n">
        <v>2</v>
      </c>
      <c r="J9" s="9" t="s">
        <v>167</v>
      </c>
    </row>
    <row r="10" customFormat="false" ht="54.75" hidden="false" customHeight="true" outlineLevel="0" collapsed="false">
      <c r="A10" s="34" t="s">
        <v>168</v>
      </c>
      <c r="B10" s="24" t="s">
        <v>169</v>
      </c>
      <c r="C10" s="25" t="n">
        <v>7</v>
      </c>
      <c r="D10" s="26" t="s">
        <v>154</v>
      </c>
      <c r="E10" s="4" t="s">
        <v>170</v>
      </c>
      <c r="F10" s="27" t="s">
        <v>171</v>
      </c>
      <c r="G10" s="28" t="s">
        <v>150</v>
      </c>
      <c r="H10" s="2" t="s">
        <v>132</v>
      </c>
      <c r="I10" s="2" t="s">
        <v>133</v>
      </c>
      <c r="J10" s="9" t="s">
        <v>172</v>
      </c>
    </row>
    <row r="11" customFormat="false" ht="54.75" hidden="false" customHeight="true" outlineLevel="0" collapsed="false">
      <c r="A11" s="35" t="s">
        <v>173</v>
      </c>
      <c r="B11" s="24" t="s">
        <v>174</v>
      </c>
      <c r="C11" s="25" t="n">
        <v>3</v>
      </c>
      <c r="D11" s="26" t="s">
        <v>154</v>
      </c>
      <c r="E11" s="4" t="s">
        <v>175</v>
      </c>
      <c r="F11" s="27" t="s">
        <v>176</v>
      </c>
      <c r="G11" s="28" t="s">
        <v>161</v>
      </c>
      <c r="H11" s="2" t="s">
        <v>132</v>
      </c>
      <c r="I11" s="2" t="s">
        <v>133</v>
      </c>
      <c r="J11" s="9" t="s">
        <v>177</v>
      </c>
    </row>
    <row r="12" customFormat="false" ht="54.75" hidden="false" customHeight="true" outlineLevel="0" collapsed="false">
      <c r="A12" s="36" t="s">
        <v>178</v>
      </c>
      <c r="B12" s="24" t="s">
        <v>179</v>
      </c>
      <c r="C12" s="25" t="n">
        <v>4</v>
      </c>
      <c r="D12" s="26" t="s">
        <v>165</v>
      </c>
      <c r="E12" s="4" t="s">
        <v>180</v>
      </c>
      <c r="F12" s="27" t="s">
        <v>176</v>
      </c>
      <c r="G12" s="28" t="s">
        <v>150</v>
      </c>
      <c r="H12" s="2" t="s">
        <v>181</v>
      </c>
      <c r="I12" s="2" t="s">
        <v>133</v>
      </c>
      <c r="J12" s="9" t="s">
        <v>182</v>
      </c>
    </row>
    <row r="14" customFormat="false" ht="15" hidden="false" customHeight="false" outlineLevel="0" collapsed="false">
      <c r="A14" s="37" t="s">
        <v>183</v>
      </c>
      <c r="B14" s="37"/>
      <c r="C14" s="37"/>
      <c r="D14" s="37"/>
      <c r="E14" s="37"/>
      <c r="F14" s="37"/>
      <c r="G14" s="37"/>
      <c r="H14" s="37"/>
      <c r="I14" s="37"/>
      <c r="J14" s="37"/>
    </row>
    <row r="15" customFormat="false" ht="49.5" hidden="false" customHeight="true" outlineLevel="0" collapsed="false">
      <c r="A15" s="38" t="s">
        <v>184</v>
      </c>
      <c r="B15" s="4" t="s">
        <v>185</v>
      </c>
      <c r="C15" s="4"/>
      <c r="D15" s="39" t="s">
        <v>186</v>
      </c>
      <c r="E15" s="39"/>
      <c r="F15" s="9" t="s">
        <v>187</v>
      </c>
      <c r="G15" s="9"/>
      <c r="H15" s="9"/>
      <c r="I15" s="9"/>
      <c r="J15" s="9"/>
    </row>
    <row r="16" customFormat="false" ht="49.5" hidden="false" customHeight="true" outlineLevel="0" collapsed="false">
      <c r="A16" s="38" t="s">
        <v>188</v>
      </c>
      <c r="B16" s="4" t="s">
        <v>189</v>
      </c>
      <c r="C16" s="4"/>
      <c r="D16" s="39" t="s">
        <v>190</v>
      </c>
      <c r="E16" s="39"/>
      <c r="F16" s="9" t="s">
        <v>191</v>
      </c>
      <c r="G16" s="9"/>
      <c r="H16" s="9"/>
      <c r="I16" s="9"/>
      <c r="J16" s="9"/>
    </row>
    <row r="17" customFormat="false" ht="49.5" hidden="false" customHeight="true" outlineLevel="0" collapsed="false">
      <c r="A17" s="38" t="s">
        <v>192</v>
      </c>
      <c r="B17" s="4" t="s">
        <v>193</v>
      </c>
      <c r="C17" s="4"/>
      <c r="D17" s="39" t="s">
        <v>194</v>
      </c>
      <c r="E17" s="39"/>
      <c r="F17" s="9" t="s">
        <v>195</v>
      </c>
      <c r="G17" s="9"/>
      <c r="H17" s="9"/>
      <c r="I17" s="9"/>
      <c r="J17" s="9"/>
    </row>
    <row r="18" customFormat="false" ht="49.5" hidden="false" customHeight="true" outlineLevel="0" collapsed="false">
      <c r="A18" s="40" t="s">
        <v>196</v>
      </c>
      <c r="B18" s="4" t="s">
        <v>197</v>
      </c>
      <c r="C18" s="4"/>
      <c r="D18" s="39" t="s">
        <v>198</v>
      </c>
      <c r="E18" s="39"/>
      <c r="F18" s="9" t="s">
        <v>199</v>
      </c>
      <c r="G18" s="9"/>
      <c r="H18" s="9"/>
      <c r="I18" s="9"/>
      <c r="J18" s="9"/>
    </row>
  </sheetData>
  <mergeCells count="14">
    <mergeCell ref="A1:J1"/>
    <mergeCell ref="A14:J14"/>
    <mergeCell ref="B15:C15"/>
    <mergeCell ref="D15:E15"/>
    <mergeCell ref="F15:J15"/>
    <mergeCell ref="B16:C16"/>
    <mergeCell ref="D16:E16"/>
    <mergeCell ref="F16:J16"/>
    <mergeCell ref="B17:C17"/>
    <mergeCell ref="D17:E17"/>
    <mergeCell ref="F17:J17"/>
    <mergeCell ref="B18:C18"/>
    <mergeCell ref="D18:E18"/>
    <mergeCell ref="F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16" min="5" style="0" width="6"/>
  </cols>
  <sheetData>
    <row r="1" customFormat="false" ht="30" hidden="false" customHeight="true" outlineLevel="0" collapsed="false">
      <c r="A1" s="22" t="s">
        <v>200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customFormat="false" ht="24.75" hidden="false" customHeight="true" outlineLevel="0" collapsed="false">
      <c r="A2" s="1" t="s">
        <v>9</v>
      </c>
      <c r="B2" s="1" t="s">
        <v>3</v>
      </c>
      <c r="C2" s="1" t="s">
        <v>201</v>
      </c>
      <c r="D2" s="1" t="s">
        <v>202</v>
      </c>
      <c r="E2" s="1" t="s">
        <v>203</v>
      </c>
      <c r="F2" s="1" t="s">
        <v>204</v>
      </c>
      <c r="G2" s="1" t="s">
        <v>205</v>
      </c>
      <c r="H2" s="1" t="s">
        <v>206</v>
      </c>
      <c r="I2" s="1" t="s">
        <v>207</v>
      </c>
      <c r="J2" s="1" t="s">
        <v>208</v>
      </c>
      <c r="K2" s="1" t="s">
        <v>209</v>
      </c>
      <c r="L2" s="1" t="s">
        <v>210</v>
      </c>
      <c r="M2" s="1" t="s">
        <v>211</v>
      </c>
      <c r="N2" s="1" t="s">
        <v>212</v>
      </c>
      <c r="O2" s="1" t="s">
        <v>213</v>
      </c>
      <c r="P2" s="1" t="s">
        <v>214</v>
      </c>
    </row>
    <row r="3" customFormat="false" ht="15" hidden="false" customHeight="false" outlineLevel="0" collapsed="false">
      <c r="E3" s="41" t="s">
        <v>215</v>
      </c>
      <c r="F3" s="41"/>
      <c r="G3" s="41"/>
      <c r="H3" s="41" t="s">
        <v>216</v>
      </c>
      <c r="I3" s="41"/>
      <c r="J3" s="41"/>
      <c r="K3" s="41" t="s">
        <v>217</v>
      </c>
      <c r="L3" s="41"/>
      <c r="M3" s="41"/>
    </row>
    <row r="4" customFormat="false" ht="45" hidden="false" customHeight="true" outlineLevel="0" collapsed="false">
      <c r="A4" s="26" t="s">
        <v>218</v>
      </c>
      <c r="B4" s="23" t="s">
        <v>126</v>
      </c>
      <c r="C4" s="3" t="s">
        <v>219</v>
      </c>
      <c r="D4" s="9" t="s">
        <v>220</v>
      </c>
      <c r="E4" s="42" t="s">
        <v>221</v>
      </c>
      <c r="F4" s="43"/>
      <c r="G4" s="42" t="s">
        <v>222</v>
      </c>
      <c r="H4" s="44"/>
      <c r="I4" s="44"/>
      <c r="J4" s="44"/>
      <c r="K4" s="44"/>
      <c r="L4" s="44"/>
      <c r="M4" s="44"/>
      <c r="N4" s="44"/>
      <c r="O4" s="44"/>
      <c r="P4" s="44"/>
    </row>
    <row r="5" customFormat="false" ht="45" hidden="false" customHeight="true" outlineLevel="0" collapsed="false">
      <c r="A5" s="26" t="s">
        <v>218</v>
      </c>
      <c r="B5" s="29" t="s">
        <v>141</v>
      </c>
      <c r="C5" s="3" t="s">
        <v>223</v>
      </c>
      <c r="D5" s="9" t="s">
        <v>224</v>
      </c>
      <c r="E5" s="45" t="s">
        <v>221</v>
      </c>
      <c r="F5" s="46"/>
      <c r="G5" s="45" t="s">
        <v>222</v>
      </c>
      <c r="H5" s="44"/>
      <c r="I5" s="44"/>
      <c r="J5" s="44"/>
      <c r="K5" s="44"/>
      <c r="L5" s="44"/>
      <c r="M5" s="44"/>
      <c r="N5" s="44"/>
      <c r="O5" s="44"/>
      <c r="P5" s="44"/>
    </row>
    <row r="6" customFormat="false" ht="45" hidden="false" customHeight="true" outlineLevel="0" collapsed="false">
      <c r="A6" s="26" t="s">
        <v>218</v>
      </c>
      <c r="B6" s="30" t="s">
        <v>148</v>
      </c>
      <c r="C6" s="3" t="s">
        <v>225</v>
      </c>
      <c r="D6" s="9" t="s">
        <v>226</v>
      </c>
      <c r="E6" s="44"/>
      <c r="F6" s="47" t="s">
        <v>221</v>
      </c>
      <c r="G6" s="47" t="s">
        <v>222</v>
      </c>
      <c r="H6" s="44"/>
      <c r="I6" s="44"/>
      <c r="J6" s="44"/>
      <c r="K6" s="44"/>
      <c r="L6" s="44"/>
      <c r="M6" s="44"/>
      <c r="N6" s="44"/>
      <c r="O6" s="44"/>
      <c r="P6" s="44"/>
    </row>
    <row r="7" customFormat="false" ht="45" hidden="false" customHeight="true" outlineLevel="0" collapsed="false">
      <c r="A7" s="26" t="s">
        <v>218</v>
      </c>
      <c r="B7" s="7" t="s">
        <v>135</v>
      </c>
      <c r="C7" s="3" t="s">
        <v>227</v>
      </c>
      <c r="D7" s="9" t="s">
        <v>228</v>
      </c>
      <c r="E7" s="44"/>
      <c r="F7" s="48" t="s">
        <v>221</v>
      </c>
      <c r="G7" s="49"/>
      <c r="H7" s="48" t="s">
        <v>222</v>
      </c>
      <c r="I7" s="44"/>
      <c r="J7" s="44"/>
      <c r="K7" s="44"/>
      <c r="L7" s="44"/>
      <c r="M7" s="44"/>
      <c r="N7" s="44"/>
      <c r="O7" s="44"/>
      <c r="P7" s="44"/>
    </row>
    <row r="8" customFormat="false" ht="45" hidden="false" customHeight="true" outlineLevel="0" collapsed="false">
      <c r="A8" s="26" t="s">
        <v>229</v>
      </c>
      <c r="B8" s="31" t="s">
        <v>152</v>
      </c>
      <c r="C8" s="3" t="s">
        <v>230</v>
      </c>
      <c r="D8" s="9" t="s">
        <v>231</v>
      </c>
      <c r="E8" s="44"/>
      <c r="F8" s="44"/>
      <c r="G8" s="50" t="s">
        <v>221</v>
      </c>
      <c r="H8" s="51"/>
      <c r="I8" s="50" t="s">
        <v>222</v>
      </c>
      <c r="J8" s="44"/>
      <c r="K8" s="44"/>
      <c r="L8" s="44"/>
      <c r="M8" s="44"/>
      <c r="N8" s="44"/>
      <c r="O8" s="44"/>
      <c r="P8" s="44"/>
    </row>
    <row r="9" customFormat="false" ht="45" hidden="false" customHeight="true" outlineLevel="0" collapsed="false">
      <c r="A9" s="26" t="s">
        <v>229</v>
      </c>
      <c r="B9" s="34" t="s">
        <v>168</v>
      </c>
      <c r="C9" s="3" t="s">
        <v>232</v>
      </c>
      <c r="D9" s="9" t="s">
        <v>233</v>
      </c>
      <c r="E9" s="44"/>
      <c r="F9" s="44"/>
      <c r="G9" s="44"/>
      <c r="H9" s="52" t="s">
        <v>221</v>
      </c>
      <c r="I9" s="52" t="s">
        <v>222</v>
      </c>
      <c r="J9" s="44"/>
      <c r="K9" s="44"/>
      <c r="L9" s="44"/>
      <c r="M9" s="44"/>
      <c r="N9" s="44"/>
      <c r="O9" s="44"/>
      <c r="P9" s="44"/>
    </row>
    <row r="10" customFormat="false" ht="45" hidden="false" customHeight="true" outlineLevel="0" collapsed="false">
      <c r="A10" s="26" t="s">
        <v>229</v>
      </c>
      <c r="B10" s="23" t="s">
        <v>126</v>
      </c>
      <c r="C10" s="3" t="s">
        <v>234</v>
      </c>
      <c r="D10" s="9" t="s">
        <v>235</v>
      </c>
      <c r="E10" s="44"/>
      <c r="F10" s="44"/>
      <c r="G10" s="44"/>
      <c r="H10" s="42" t="s">
        <v>221</v>
      </c>
      <c r="I10" s="43"/>
      <c r="J10" s="42" t="s">
        <v>222</v>
      </c>
      <c r="K10" s="44"/>
      <c r="L10" s="44"/>
      <c r="M10" s="44"/>
      <c r="N10" s="44"/>
      <c r="O10" s="44"/>
      <c r="P10" s="44"/>
    </row>
    <row r="11" customFormat="false" ht="45" hidden="false" customHeight="true" outlineLevel="0" collapsed="false">
      <c r="A11" s="26" t="s">
        <v>236</v>
      </c>
      <c r="B11" s="35" t="s">
        <v>173</v>
      </c>
      <c r="C11" s="3" t="s">
        <v>174</v>
      </c>
      <c r="D11" s="9" t="s">
        <v>237</v>
      </c>
      <c r="E11" s="44"/>
      <c r="F11" s="44"/>
      <c r="G11" s="44"/>
      <c r="H11" s="44"/>
      <c r="I11" s="53" t="s">
        <v>221</v>
      </c>
      <c r="J11" s="54"/>
      <c r="K11" s="53" t="s">
        <v>222</v>
      </c>
      <c r="L11" s="44"/>
      <c r="M11" s="44"/>
      <c r="N11" s="44"/>
      <c r="O11" s="44"/>
      <c r="P11" s="44"/>
    </row>
    <row r="12" customFormat="false" ht="45" hidden="false" customHeight="true" outlineLevel="0" collapsed="false">
      <c r="A12" s="26" t="s">
        <v>236</v>
      </c>
      <c r="B12" s="32" t="s">
        <v>158</v>
      </c>
      <c r="C12" s="3" t="s">
        <v>238</v>
      </c>
      <c r="D12" s="9" t="s">
        <v>239</v>
      </c>
      <c r="E12" s="44"/>
      <c r="F12" s="44"/>
      <c r="G12" s="44"/>
      <c r="H12" s="44"/>
      <c r="I12" s="55" t="s">
        <v>221</v>
      </c>
      <c r="J12" s="56"/>
      <c r="K12" s="56"/>
      <c r="L12" s="55" t="s">
        <v>222</v>
      </c>
      <c r="M12" s="44"/>
      <c r="N12" s="44"/>
      <c r="O12" s="44"/>
      <c r="P12" s="44"/>
    </row>
    <row r="13" customFormat="false" ht="45" hidden="false" customHeight="true" outlineLevel="0" collapsed="false">
      <c r="A13" s="26" t="s">
        <v>236</v>
      </c>
      <c r="B13" s="7" t="s">
        <v>135</v>
      </c>
      <c r="C13" s="3" t="s">
        <v>240</v>
      </c>
      <c r="D13" s="9" t="s">
        <v>241</v>
      </c>
      <c r="E13" s="44"/>
      <c r="F13" s="44"/>
      <c r="G13" s="44"/>
      <c r="H13" s="44"/>
      <c r="I13" s="44"/>
      <c r="J13" s="48" t="s">
        <v>221</v>
      </c>
      <c r="K13" s="49"/>
      <c r="L13" s="48" t="s">
        <v>222</v>
      </c>
      <c r="M13" s="44"/>
      <c r="N13" s="44"/>
      <c r="O13" s="44"/>
      <c r="P13" s="44"/>
    </row>
    <row r="14" customFormat="false" ht="45" hidden="false" customHeight="true" outlineLevel="0" collapsed="false">
      <c r="A14" s="26" t="s">
        <v>236</v>
      </c>
      <c r="B14" s="30" t="s">
        <v>148</v>
      </c>
      <c r="C14" s="3" t="s">
        <v>242</v>
      </c>
      <c r="D14" s="9" t="s">
        <v>243</v>
      </c>
      <c r="E14" s="44"/>
      <c r="F14" s="44"/>
      <c r="G14" s="44"/>
      <c r="H14" s="44"/>
      <c r="I14" s="44"/>
      <c r="J14" s="47" t="s">
        <v>221</v>
      </c>
      <c r="K14" s="57"/>
      <c r="L14" s="47" t="s">
        <v>222</v>
      </c>
      <c r="M14" s="44"/>
      <c r="N14" s="44"/>
      <c r="O14" s="44"/>
      <c r="P14" s="44"/>
    </row>
    <row r="15" customFormat="false" ht="45" hidden="false" customHeight="true" outlineLevel="0" collapsed="false">
      <c r="A15" s="26" t="s">
        <v>244</v>
      </c>
      <c r="B15" s="33" t="s">
        <v>163</v>
      </c>
      <c r="C15" s="3" t="s">
        <v>245</v>
      </c>
      <c r="D15" s="9" t="s">
        <v>246</v>
      </c>
      <c r="E15" s="44"/>
      <c r="F15" s="44"/>
      <c r="G15" s="44"/>
      <c r="H15" s="44"/>
      <c r="I15" s="44"/>
      <c r="J15" s="44"/>
      <c r="K15" s="44"/>
      <c r="L15" s="58" t="s">
        <v>221</v>
      </c>
      <c r="M15" s="59"/>
      <c r="N15" s="59"/>
      <c r="O15" s="58" t="s">
        <v>222</v>
      </c>
      <c r="P15" s="44"/>
    </row>
    <row r="16" customFormat="false" ht="45" hidden="false" customHeight="true" outlineLevel="0" collapsed="false">
      <c r="A16" s="26" t="s">
        <v>244</v>
      </c>
      <c r="B16" s="32" t="s">
        <v>158</v>
      </c>
      <c r="C16" s="3" t="s">
        <v>247</v>
      </c>
      <c r="D16" s="9" t="s">
        <v>248</v>
      </c>
      <c r="E16" s="44"/>
      <c r="F16" s="44"/>
      <c r="G16" s="44"/>
      <c r="H16" s="44"/>
      <c r="I16" s="44"/>
      <c r="J16" s="44"/>
      <c r="K16" s="44"/>
      <c r="L16" s="44"/>
      <c r="M16" s="55" t="s">
        <v>221</v>
      </c>
      <c r="N16" s="56"/>
      <c r="O16" s="55" t="s">
        <v>222</v>
      </c>
      <c r="P16" s="44"/>
    </row>
    <row r="17" customFormat="false" ht="45" hidden="false" customHeight="true" outlineLevel="0" collapsed="false">
      <c r="A17" s="26" t="s">
        <v>244</v>
      </c>
      <c r="B17" s="36" t="s">
        <v>178</v>
      </c>
      <c r="C17" s="3" t="s">
        <v>249</v>
      </c>
      <c r="D17" s="9" t="s">
        <v>250</v>
      </c>
      <c r="E17" s="44"/>
      <c r="F17" s="44"/>
      <c r="G17" s="44"/>
      <c r="H17" s="44"/>
      <c r="I17" s="44"/>
      <c r="J17" s="44"/>
      <c r="K17" s="44"/>
      <c r="L17" s="44"/>
      <c r="M17" s="44"/>
      <c r="N17" s="60" t="s">
        <v>221</v>
      </c>
      <c r="O17" s="61"/>
      <c r="P17" s="60" t="s">
        <v>222</v>
      </c>
    </row>
    <row r="18" customFormat="false" ht="45" hidden="false" customHeight="true" outlineLevel="0" collapsed="false">
      <c r="A18" s="26" t="s">
        <v>244</v>
      </c>
      <c r="B18" s="33" t="s">
        <v>163</v>
      </c>
      <c r="C18" s="3" t="s">
        <v>251</v>
      </c>
      <c r="D18" s="9" t="s">
        <v>252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58" t="s">
        <v>221</v>
      </c>
      <c r="P18" s="58" t="s">
        <v>222</v>
      </c>
    </row>
    <row r="20" customFormat="false" ht="15" hidden="false" customHeight="false" outlineLevel="0" collapsed="false">
      <c r="A20" s="62" t="s">
        <v>253</v>
      </c>
    </row>
    <row r="21" customFormat="false" ht="21.75" hidden="false" customHeight="true" outlineLevel="0" collapsed="false">
      <c r="A21" s="63" t="s">
        <v>205</v>
      </c>
      <c r="B21" s="64" t="s">
        <v>254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</row>
    <row r="22" customFormat="false" ht="21.75" hidden="false" customHeight="true" outlineLevel="0" collapsed="false">
      <c r="A22" s="63" t="s">
        <v>207</v>
      </c>
      <c r="B22" s="64" t="s">
        <v>255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</row>
    <row r="23" customFormat="false" ht="21.75" hidden="false" customHeight="true" outlineLevel="0" collapsed="false">
      <c r="A23" s="63" t="s">
        <v>208</v>
      </c>
      <c r="B23" s="64" t="s">
        <v>256</v>
      </c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</row>
    <row r="24" customFormat="false" ht="21.75" hidden="false" customHeight="true" outlineLevel="0" collapsed="false">
      <c r="A24" s="63" t="s">
        <v>210</v>
      </c>
      <c r="B24" s="64" t="s">
        <v>257</v>
      </c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</row>
    <row r="25" customFormat="false" ht="21.75" hidden="false" customHeight="true" outlineLevel="0" collapsed="false">
      <c r="A25" s="63" t="s">
        <v>211</v>
      </c>
      <c r="B25" s="64" t="s">
        <v>258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</row>
    <row r="26" customFormat="false" ht="21.75" hidden="false" customHeight="true" outlineLevel="0" collapsed="false">
      <c r="A26" s="63" t="s">
        <v>213</v>
      </c>
      <c r="B26" s="64" t="s">
        <v>259</v>
      </c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</row>
    <row r="27" customFormat="false" ht="21.75" hidden="false" customHeight="true" outlineLevel="0" collapsed="false">
      <c r="A27" s="63" t="s">
        <v>214</v>
      </c>
      <c r="B27" s="64" t="s">
        <v>260</v>
      </c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</row>
  </sheetData>
  <mergeCells count="11">
    <mergeCell ref="A1:R1"/>
    <mergeCell ref="E3:G3"/>
    <mergeCell ref="H3:J3"/>
    <mergeCell ref="K3:M3"/>
    <mergeCell ref="B21:P21"/>
    <mergeCell ref="B22:P22"/>
    <mergeCell ref="B23:P23"/>
    <mergeCell ref="B24:P24"/>
    <mergeCell ref="B25:P25"/>
    <mergeCell ref="B26:P26"/>
    <mergeCell ref="B27:P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5" min="3" style="0" width="40"/>
    <col collapsed="false" customWidth="true" hidden="false" outlineLevel="0" max="6" min="6" style="0" width="35"/>
  </cols>
  <sheetData>
    <row r="1" customFormat="false" ht="30" hidden="false" customHeight="true" outlineLevel="0" collapsed="false">
      <c r="A1" s="22" t="s">
        <v>261</v>
      </c>
      <c r="B1" s="22"/>
      <c r="C1" s="22"/>
      <c r="D1" s="22"/>
      <c r="E1" s="22"/>
      <c r="F1" s="22"/>
    </row>
    <row r="2" customFormat="false" ht="15" hidden="false" customHeight="false" outlineLevel="0" collapsed="false">
      <c r="A2" s="1" t="s">
        <v>262</v>
      </c>
      <c r="B2" s="1" t="s">
        <v>201</v>
      </c>
      <c r="C2" s="1" t="s">
        <v>263</v>
      </c>
      <c r="D2" s="1" t="s">
        <v>264</v>
      </c>
      <c r="E2" s="1" t="s">
        <v>265</v>
      </c>
      <c r="F2" s="1" t="s">
        <v>266</v>
      </c>
    </row>
    <row r="3" customFormat="false" ht="90" hidden="false" customHeight="true" outlineLevel="0" collapsed="false">
      <c r="A3" s="8" t="s">
        <v>267</v>
      </c>
      <c r="B3" s="24" t="s">
        <v>268</v>
      </c>
      <c r="C3" s="65" t="s">
        <v>269</v>
      </c>
      <c r="D3" s="65" t="s">
        <v>270</v>
      </c>
      <c r="E3" s="65" t="s">
        <v>271</v>
      </c>
      <c r="F3" s="65" t="s">
        <v>272</v>
      </c>
    </row>
    <row r="4" customFormat="false" ht="90" hidden="false" customHeight="true" outlineLevel="0" collapsed="false">
      <c r="A4" s="8" t="s">
        <v>273</v>
      </c>
      <c r="B4" s="24" t="s">
        <v>274</v>
      </c>
      <c r="C4" s="65" t="s">
        <v>275</v>
      </c>
      <c r="D4" s="65" t="s">
        <v>276</v>
      </c>
      <c r="E4" s="65" t="s">
        <v>277</v>
      </c>
      <c r="F4" s="65" t="s">
        <v>278</v>
      </c>
    </row>
    <row r="5" customFormat="false" ht="90" hidden="false" customHeight="true" outlineLevel="0" collapsed="false">
      <c r="A5" s="8" t="s">
        <v>279</v>
      </c>
      <c r="B5" s="24" t="s">
        <v>280</v>
      </c>
      <c r="C5" s="65" t="s">
        <v>281</v>
      </c>
      <c r="D5" s="65" t="s">
        <v>282</v>
      </c>
      <c r="E5" s="65" t="s">
        <v>283</v>
      </c>
      <c r="F5" s="65" t="s">
        <v>284</v>
      </c>
    </row>
    <row r="6" customFormat="false" ht="90" hidden="false" customHeight="true" outlineLevel="0" collapsed="false">
      <c r="A6" s="8" t="s">
        <v>285</v>
      </c>
      <c r="B6" s="24" t="s">
        <v>286</v>
      </c>
      <c r="C6" s="65" t="s">
        <v>287</v>
      </c>
      <c r="D6" s="65" t="s">
        <v>288</v>
      </c>
      <c r="E6" s="65" t="s">
        <v>289</v>
      </c>
      <c r="F6" s="65" t="s">
        <v>290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2026-03-14T09:32:27Z</dcterms:created>
  <dc:creator>openpyxl</dc:creator>
  <dc:description/>
  <dc:language>en-US</dc:language>
  <cp:lastModifiedBy/>
  <dcterms:modified xsi:type="dcterms:W3CDTF">2026-03-14T09:32:27Z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